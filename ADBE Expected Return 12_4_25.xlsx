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r Valuation" sheetId="1" r:id="rId5"/>
    <sheet state="visible" name="Revenue Projection" sheetId="2" r:id="rId6"/>
    <sheet state="visible" name="Sheet21" sheetId="3" r:id="rId7"/>
    <sheet state="visible" name="Expenses Projection" sheetId="4" r:id="rId8"/>
  </sheets>
  <definedNames/>
  <calcPr/>
</workbook>
</file>

<file path=xl/sharedStrings.xml><?xml version="1.0" encoding="utf-8"?>
<sst xmlns="http://schemas.openxmlformats.org/spreadsheetml/2006/main" count="119" uniqueCount="75">
  <si>
    <t>* All light blue cells are inputs to the DCF</t>
  </si>
  <si>
    <t>Ticker</t>
  </si>
  <si>
    <t>Share Price</t>
  </si>
  <si>
    <t>Target P/E Multiple</t>
  </si>
  <si>
    <t>EPS Growth %</t>
  </si>
  <si>
    <t>ADBE</t>
  </si>
  <si>
    <t>Revenue  Growth</t>
  </si>
  <si>
    <t>OpEx Growth</t>
  </si>
  <si>
    <t>Cost of Revenue Growth</t>
  </si>
  <si>
    <t>Net Share Dilution</t>
  </si>
  <si>
    <t>Dividend Growth %</t>
  </si>
  <si>
    <t>Current Dividend</t>
  </si>
  <si>
    <t>Factors</t>
  </si>
  <si>
    <t>Revenue (bil)</t>
  </si>
  <si>
    <t>Cost of Revenue</t>
  </si>
  <si>
    <t>Operating Expense</t>
  </si>
  <si>
    <t>Operating Income (bil)</t>
  </si>
  <si>
    <t>Operating Margin (%)</t>
  </si>
  <si>
    <t>Non operating Income (expense)</t>
  </si>
  <si>
    <t>Tax Expense</t>
  </si>
  <si>
    <t>Net Income (bil)</t>
  </si>
  <si>
    <t>Outstanding Shares (bil)</t>
  </si>
  <si>
    <t>Earnings per Share</t>
  </si>
  <si>
    <t>Share Price (assuming Tgt P/E Multiple)</t>
  </si>
  <si>
    <t>Extra Shares w/ Dividend Reinvested</t>
  </si>
  <si>
    <t>Total CAGR w/o Dividends</t>
  </si>
  <si>
    <t>Total CAGR</t>
  </si>
  <si>
    <t>Price Target:</t>
  </si>
  <si>
    <t>Target CAGR</t>
  </si>
  <si>
    <t>Multiple Return Profile:</t>
  </si>
  <si>
    <t>P/E Ratio</t>
  </si>
  <si>
    <t>5 year share price</t>
  </si>
  <si>
    <t>CAGR</t>
  </si>
  <si>
    <t>* The specific returns you look at are in purple, this will change depending on the company.</t>
  </si>
  <si>
    <t>Each company will trade for different FCF Yields depending on the nature of the business and predictability of future FCF</t>
  </si>
  <si>
    <t>It is up to the user to determine the ideal FCF yield profile to match the company</t>
  </si>
  <si>
    <t>Disaggregation of Revenues</t>
  </si>
  <si>
    <t>Percentage of Revenue</t>
  </si>
  <si>
    <t>Projected 5Y CAGR</t>
  </si>
  <si>
    <t>Y1 Growth</t>
  </si>
  <si>
    <t>Y2 Growth</t>
  </si>
  <si>
    <t>Y3 Growth</t>
  </si>
  <si>
    <t>Y4 Growth</t>
  </si>
  <si>
    <t>Y5 Growth</t>
  </si>
  <si>
    <t>Trading Order Flow Revenue (mil)</t>
  </si>
  <si>
    <t>Options Trading</t>
  </si>
  <si>
    <t>Cryptocurrency Trading</t>
  </si>
  <si>
    <t>Equities Trading</t>
  </si>
  <si>
    <t>Other Trading</t>
  </si>
  <si>
    <t>Interest Income</t>
  </si>
  <si>
    <t>Margin interest</t>
  </si>
  <si>
    <t>Interest on cash securities,and deposits</t>
  </si>
  <si>
    <t>Interest on corporate cash and investments</t>
  </si>
  <si>
    <t>Cash Sweep</t>
  </si>
  <si>
    <t>Securities lending, net</t>
  </si>
  <si>
    <t>Credit card, net</t>
  </si>
  <si>
    <t>Interest expenses related to credit facilities</t>
  </si>
  <si>
    <t>Robinhood Gold</t>
  </si>
  <si>
    <t>Other</t>
  </si>
  <si>
    <t>Total Revenue</t>
  </si>
  <si>
    <t>5 Year Revenue CAGR</t>
  </si>
  <si>
    <t>revenues</t>
  </si>
  <si>
    <t xml:space="preserve">2024 Q4 </t>
  </si>
  <si>
    <t>(take the 10k value from 2024 and subtract by the 9 months before total from 10q 2024 q3, in this case 21,505-15,899)</t>
  </si>
  <si>
    <t>2025 Q1 to Q3</t>
  </si>
  <si>
    <t>TTM 2025 Q3</t>
  </si>
  <si>
    <t>COGS</t>
  </si>
  <si>
    <t>2024 Q4</t>
  </si>
  <si>
    <t>OpEx</t>
  </si>
  <si>
    <t>Disaggregation of OpEx</t>
  </si>
  <si>
    <t>General	and	administrative</t>
  </si>
  <si>
    <t>Advertising and marketing</t>
  </si>
  <si>
    <t>Depreciation	and	amortization</t>
  </si>
  <si>
    <t>Provision for Litigation</t>
  </si>
  <si>
    <t>Total OpEx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</si>
</sst>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#0.0000"/>
    <numFmt numFmtId="166" formatCode="_(&quot;$&quot;* #,##0.00_);_(&quot;$&quot;* \(#,##0.00\);_(&quot;$&quot;* &quot;-&quot;??_);_(@_)"/>
  </numFmts>
  <fonts count="10">
    <font>
      <sz val="10.0"/>
      <color rgb="FF000000"/>
      <name val="Arial"/>
      <scheme val="minor"/>
    </font>
    <font>
      <color theme="1"/>
      <name val="Arial"/>
    </font>
    <font>
      <i/>
      <sz val="15.0"/>
      <color theme="1"/>
      <name val="Times"/>
    </font>
    <font>
      <b/>
      <sz val="15.0"/>
      <color rgb="FFFFFFFF"/>
      <name val="Times"/>
    </font>
    <font>
      <sz val="15.0"/>
      <color theme="1"/>
      <name val="Times"/>
    </font>
    <font>
      <sz val="15.0"/>
      <color rgb="FFFFFFFF"/>
      <name val="Times"/>
    </font>
    <font>
      <b/>
      <sz val="15.0"/>
      <color theme="1"/>
      <name val="Times"/>
    </font>
    <font/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00000"/>
        <bgColor rgb="FF500000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B4A7D6"/>
        <bgColor rgb="FFB4A7D6"/>
      </patternFill>
    </fill>
  </fills>
  <borders count="2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4" fillId="3" fontId="4" numFmtId="0" xfId="0" applyAlignment="1" applyBorder="1" applyFill="1" applyFont="1">
      <alignment horizontal="center" readingOrder="0" vertical="bottom"/>
    </xf>
    <xf borderId="4" fillId="3" fontId="4" numFmtId="164" xfId="0" applyAlignment="1" applyBorder="1" applyFont="1" applyNumberFormat="1">
      <alignment horizontal="center" vertical="bottom"/>
    </xf>
    <xf borderId="4" fillId="3" fontId="4" numFmtId="4" xfId="0" applyAlignment="1" applyBorder="1" applyFont="1" applyNumberFormat="1">
      <alignment horizontal="center" readingOrder="0" vertical="bottom"/>
    </xf>
    <xf borderId="4" fillId="4" fontId="4" numFmtId="10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3" fillId="2" fontId="3" numFmtId="0" xfId="0" applyAlignment="1" applyBorder="1" applyFont="1">
      <alignment horizontal="center" readingOrder="0" vertical="bottom"/>
    </xf>
    <xf borderId="4" fillId="3" fontId="4" numFmtId="10" xfId="0" applyAlignment="1" applyBorder="1" applyFont="1" applyNumberFormat="1">
      <alignment horizontal="center" readingOrder="0" vertical="bottom"/>
    </xf>
    <xf borderId="5" fillId="3" fontId="4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6" fillId="2" fontId="3" numFmtId="0" xfId="0" applyAlignment="1" applyBorder="1" applyFont="1">
      <alignment vertical="bottom"/>
    </xf>
    <xf borderId="2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vertical="bottom"/>
    </xf>
    <xf borderId="7" fillId="4" fontId="6" numFmtId="0" xfId="0" applyAlignment="1" applyBorder="1" applyFont="1">
      <alignment readingOrder="0" vertical="bottom"/>
    </xf>
    <xf borderId="0" fillId="3" fontId="4" numFmtId="164" xfId="0" applyAlignment="1" applyFont="1" applyNumberFormat="1">
      <alignment horizontal="center" readingOrder="0" vertical="bottom"/>
    </xf>
    <xf borderId="0" fillId="4" fontId="4" numFmtId="164" xfId="0" applyAlignment="1" applyFont="1" applyNumberFormat="1">
      <alignment horizontal="center" vertical="bottom"/>
    </xf>
    <xf borderId="8" fillId="4" fontId="4" numFmtId="164" xfId="0" applyAlignment="1" applyBorder="1" applyFont="1" applyNumberFormat="1">
      <alignment horizontal="center" vertical="bottom"/>
    </xf>
    <xf borderId="7" fillId="4" fontId="1" numFmtId="0" xfId="0" applyAlignment="1" applyBorder="1" applyFont="1">
      <alignment vertical="bottom"/>
    </xf>
    <xf borderId="0" fillId="4" fontId="1" numFmtId="10" xfId="0" applyAlignment="1" applyFont="1" applyNumberFormat="1">
      <alignment vertical="bottom"/>
    </xf>
    <xf borderId="8" fillId="4" fontId="1" numFmtId="10" xfId="0" applyAlignment="1" applyBorder="1" applyFont="1" applyNumberFormat="1">
      <alignment vertical="bottom"/>
    </xf>
    <xf borderId="7" fillId="4" fontId="6" numFmtId="0" xfId="0" applyAlignment="1" applyBorder="1" applyFont="1">
      <alignment vertical="bottom"/>
    </xf>
    <xf borderId="7" fillId="4" fontId="6" numFmtId="0" xfId="0" applyAlignment="1" applyBorder="1" applyFont="1">
      <alignment vertical="bottom"/>
    </xf>
    <xf borderId="0" fillId="4" fontId="1" numFmtId="164" xfId="0" applyAlignment="1" applyFont="1" applyNumberFormat="1">
      <alignment vertical="bottom"/>
    </xf>
    <xf borderId="8" fillId="4" fontId="1" numFmtId="164" xfId="0" applyAlignment="1" applyBorder="1" applyFont="1" applyNumberFormat="1">
      <alignment vertical="bottom"/>
    </xf>
    <xf borderId="0" fillId="4" fontId="4" numFmtId="10" xfId="0" applyAlignment="1" applyFont="1" applyNumberFormat="1">
      <alignment horizontal="center" vertical="bottom"/>
    </xf>
    <xf borderId="8" fillId="4" fontId="4" numFmtId="10" xfId="0" applyAlignment="1" applyBorder="1" applyFont="1" applyNumberFormat="1">
      <alignment horizontal="center" vertical="bottom"/>
    </xf>
    <xf borderId="7" fillId="4" fontId="1" numFmtId="0" xfId="0" applyAlignment="1" applyBorder="1" applyFont="1">
      <alignment vertical="bottom"/>
    </xf>
    <xf borderId="8" fillId="3" fontId="4" numFmtId="164" xfId="0" applyAlignment="1" applyBorder="1" applyFont="1" applyNumberFormat="1">
      <alignment horizontal="center" readingOrder="0" vertical="bottom"/>
    </xf>
    <xf borderId="9" fillId="4" fontId="6" numFmtId="0" xfId="0" applyAlignment="1" applyBorder="1" applyFont="1">
      <alignment readingOrder="0" vertical="bottom"/>
    </xf>
    <xf borderId="10" fillId="4" fontId="4" numFmtId="164" xfId="0" applyAlignment="1" applyBorder="1" applyFont="1" applyNumberFormat="1">
      <alignment horizontal="center" vertical="bottom"/>
    </xf>
    <xf borderId="11" fillId="4" fontId="4" numFmtId="164" xfId="0" applyAlignment="1" applyBorder="1" applyFont="1" applyNumberFormat="1">
      <alignment horizontal="center" vertical="bottom"/>
    </xf>
    <xf borderId="10" fillId="3" fontId="4" numFmtId="165" xfId="0" applyAlignment="1" applyBorder="1" applyFont="1" applyNumberFormat="1">
      <alignment horizontal="center" readingOrder="0" vertical="bottom"/>
    </xf>
    <xf borderId="10" fillId="4" fontId="4" numFmtId="165" xfId="0" applyAlignment="1" applyBorder="1" applyFont="1" applyNumberFormat="1">
      <alignment horizontal="center" vertical="bottom"/>
    </xf>
    <xf borderId="11" fillId="4" fontId="4" numFmtId="165" xfId="0" applyAlignment="1" applyBorder="1" applyFont="1" applyNumberFormat="1">
      <alignment horizontal="center" vertical="bottom"/>
    </xf>
    <xf borderId="9" fillId="4" fontId="6" numFmtId="0" xfId="0" applyAlignment="1" applyBorder="1" applyFont="1">
      <alignment vertical="bottom"/>
    </xf>
    <xf borderId="12" fillId="4" fontId="6" numFmtId="0" xfId="0" applyAlignment="1" applyBorder="1" applyFont="1">
      <alignment readingOrder="0" vertical="bottom"/>
    </xf>
    <xf borderId="13" fillId="4" fontId="4" numFmtId="164" xfId="0" applyAlignment="1" applyBorder="1" applyFont="1" applyNumberFormat="1">
      <alignment horizontal="center" vertical="bottom"/>
    </xf>
    <xf borderId="14" fillId="4" fontId="4" numFmtId="164" xfId="0" applyAlignment="1" applyBorder="1" applyFont="1" applyNumberFormat="1">
      <alignment horizontal="center" vertical="bottom"/>
    </xf>
    <xf borderId="4" fillId="4" fontId="6" numFmtId="0" xfId="0" applyAlignment="1" applyBorder="1" applyFont="1">
      <alignment vertical="bottom"/>
    </xf>
    <xf borderId="5" fillId="4" fontId="4" numFmtId="165" xfId="0" applyAlignment="1" applyBorder="1" applyFont="1" applyNumberFormat="1">
      <alignment horizontal="center" vertical="bottom"/>
    </xf>
    <xf borderId="15" fillId="4" fontId="4" numFmtId="165" xfId="0" applyAlignment="1" applyBorder="1" applyFont="1" applyNumberFormat="1">
      <alignment horizontal="center" vertical="bottom"/>
    </xf>
    <xf borderId="9" fillId="4" fontId="4" numFmtId="10" xfId="0" applyAlignment="1" applyBorder="1" applyFont="1" applyNumberFormat="1">
      <alignment horizontal="right" vertical="bottom"/>
    </xf>
    <xf borderId="16" fillId="2" fontId="3" numFmtId="0" xfId="0" applyAlignment="1" applyBorder="1" applyFont="1">
      <alignment vertical="bottom"/>
    </xf>
    <xf borderId="17" fillId="5" fontId="4" numFmtId="164" xfId="0" applyAlignment="1" applyBorder="1" applyFill="1" applyFont="1" applyNumberFormat="1">
      <alignment horizontal="right" vertical="bottom"/>
    </xf>
    <xf borderId="18" fillId="2" fontId="3" numFmtId="10" xfId="0" applyAlignment="1" applyBorder="1" applyFont="1" applyNumberFormat="1">
      <alignment vertical="bottom"/>
    </xf>
    <xf borderId="19" fillId="5" fontId="4" numFmtId="10" xfId="0" applyAlignment="1" applyBorder="1" applyFont="1" applyNumberFormat="1">
      <alignment horizontal="right" vertical="bottom"/>
    </xf>
    <xf borderId="0" fillId="0" fontId="6" numFmtId="10" xfId="0" applyAlignment="1" applyFont="1" applyNumberFormat="1">
      <alignment vertical="bottom"/>
    </xf>
    <xf borderId="1" fillId="2" fontId="3" numFmtId="10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3" fillId="2" fontId="3" numFmtId="10" xfId="0" applyAlignment="1" applyBorder="1" applyFont="1" applyNumberFormat="1">
      <alignment horizontal="center" vertical="bottom"/>
    </xf>
    <xf borderId="20" fillId="4" fontId="4" numFmtId="4" xfId="0" applyAlignment="1" applyBorder="1" applyFont="1" applyNumberFormat="1">
      <alignment horizontal="center" readingOrder="0" vertical="bottom"/>
    </xf>
    <xf borderId="20" fillId="6" fontId="4" numFmtId="4" xfId="0" applyAlignment="1" applyBorder="1" applyFill="1" applyFont="1" applyNumberFormat="1">
      <alignment horizontal="center" readingOrder="0" vertical="bottom"/>
    </xf>
    <xf borderId="0" fillId="6" fontId="4" numFmtId="164" xfId="0" applyAlignment="1" applyFont="1" applyNumberFormat="1">
      <alignment horizontal="center" vertical="bottom"/>
    </xf>
    <xf borderId="8" fillId="6" fontId="4" numFmtId="10" xfId="0" applyAlignment="1" applyBorder="1" applyFont="1" applyNumberFormat="1">
      <alignment horizontal="center" vertical="bottom"/>
    </xf>
    <xf borderId="0" fillId="0" fontId="1" numFmtId="9" xfId="0" applyAlignment="1" applyFont="1" applyNumberFormat="1">
      <alignment vertical="bottom"/>
    </xf>
    <xf borderId="21" fillId="4" fontId="4" numFmtId="4" xfId="0" applyAlignment="1" applyBorder="1" applyFont="1" applyNumberFormat="1">
      <alignment horizontal="center" readingOrder="0" vertical="bottom"/>
    </xf>
    <xf borderId="5" fillId="4" fontId="4" numFmtId="164" xfId="0" applyAlignment="1" applyBorder="1" applyFont="1" applyNumberFormat="1">
      <alignment horizontal="center" vertical="bottom"/>
    </xf>
    <xf borderId="15" fillId="4" fontId="4" numFmtId="10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22" fillId="0" fontId="7" numFmtId="0" xfId="0" applyBorder="1" applyFont="1"/>
    <xf borderId="23" fillId="2" fontId="3" numFmtId="0" xfId="0" applyAlignment="1" applyBorder="1" applyFont="1">
      <alignment horizontal="center" vertical="bottom"/>
    </xf>
    <xf borderId="17" fillId="2" fontId="3" numFmtId="0" xfId="0" applyAlignment="1" applyBorder="1" applyFont="1">
      <alignment horizontal="center" vertical="bottom"/>
    </xf>
    <xf borderId="23" fillId="0" fontId="7" numFmtId="0" xfId="0" applyBorder="1" applyFont="1"/>
    <xf borderId="20" fillId="4" fontId="6" numFmtId="0" xfId="0" applyAlignment="1" applyBorder="1" applyFont="1">
      <alignment vertical="bottom"/>
    </xf>
    <xf borderId="8" fillId="0" fontId="7" numFmtId="0" xfId="0" applyBorder="1" applyFont="1"/>
    <xf borderId="24" fillId="4" fontId="1" numFmtId="0" xfId="0" applyAlignment="1" applyBorder="1" applyFont="1">
      <alignment vertical="bottom"/>
    </xf>
    <xf borderId="13" fillId="4" fontId="1" numFmtId="0" xfId="0" applyAlignment="1" applyBorder="1" applyFont="1">
      <alignment vertical="bottom"/>
    </xf>
    <xf borderId="14" fillId="4" fontId="1" numFmtId="0" xfId="0" applyAlignment="1" applyBorder="1" applyFont="1">
      <alignment vertical="bottom"/>
    </xf>
    <xf borderId="12" fillId="4" fontId="1" numFmtId="0" xfId="0" applyAlignment="1" applyBorder="1" applyFont="1">
      <alignment vertical="bottom"/>
    </xf>
    <xf borderId="25" fillId="4" fontId="6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20" fillId="4" fontId="1" numFmtId="0" xfId="0" applyAlignment="1" applyBorder="1" applyFont="1">
      <alignment vertical="bottom"/>
    </xf>
    <xf borderId="8" fillId="4" fontId="4" numFmtId="0" xfId="0" applyAlignment="1" applyBorder="1" applyFont="1">
      <alignment vertical="bottom"/>
    </xf>
    <xf borderId="20" fillId="4" fontId="4" numFmtId="166" xfId="0" applyAlignment="1" applyBorder="1" applyFont="1" applyNumberFormat="1">
      <alignment horizontal="right" vertical="bottom"/>
    </xf>
    <xf borderId="0" fillId="4" fontId="4" numFmtId="166" xfId="0" applyAlignment="1" applyFont="1" applyNumberFormat="1">
      <alignment horizontal="right" vertical="bottom"/>
    </xf>
    <xf borderId="8" fillId="4" fontId="4" numFmtId="166" xfId="0" applyAlignment="1" applyBorder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7" fillId="4" fontId="4" numFmtId="9" xfId="0" applyAlignment="1" applyBorder="1" applyFont="1" applyNumberFormat="1">
      <alignment horizontal="center" vertical="bottom"/>
    </xf>
    <xf borderId="25" fillId="4" fontId="1" numFmtId="0" xfId="0" applyAlignment="1" applyBorder="1" applyFont="1">
      <alignment vertical="bottom"/>
    </xf>
    <xf borderId="0" fillId="4" fontId="4" numFmtId="0" xfId="0" applyAlignment="1" applyFont="1">
      <alignment vertical="bottom"/>
    </xf>
    <xf borderId="26" fillId="0" fontId="4" numFmtId="10" xfId="0" applyAlignment="1" applyBorder="1" applyFont="1" applyNumberFormat="1">
      <alignment horizontal="center" vertical="bottom"/>
    </xf>
    <xf borderId="20" fillId="4" fontId="1" numFmtId="0" xfId="0" applyAlignment="1" applyBorder="1" applyFont="1">
      <alignment vertical="bottom"/>
    </xf>
    <xf borderId="8" fillId="4" fontId="4" numFmtId="164" xfId="0" applyAlignment="1" applyBorder="1" applyFont="1" applyNumberFormat="1">
      <alignment vertical="bottom"/>
    </xf>
    <xf borderId="25" fillId="4" fontId="1" numFmtId="164" xfId="0" applyAlignment="1" applyBorder="1" applyFont="1" applyNumberFormat="1">
      <alignment vertical="bottom"/>
    </xf>
    <xf borderId="0" fillId="4" fontId="4" numFmtId="10" xfId="0" applyAlignment="1" applyFont="1" applyNumberFormat="1">
      <alignment vertical="bottom"/>
    </xf>
    <xf borderId="20" fillId="4" fontId="1" numFmtId="166" xfId="0" applyAlignment="1" applyBorder="1" applyFont="1" applyNumberFormat="1">
      <alignment vertical="bottom"/>
    </xf>
    <xf borderId="0" fillId="4" fontId="1" numFmtId="166" xfId="0" applyAlignment="1" applyFont="1" applyNumberFormat="1">
      <alignment vertical="bottom"/>
    </xf>
    <xf borderId="8" fillId="4" fontId="1" numFmtId="166" xfId="0" applyAlignment="1" applyBorder="1" applyFont="1" applyNumberFormat="1">
      <alignment vertical="bottom"/>
    </xf>
    <xf borderId="7" fillId="4" fontId="1" numFmtId="164" xfId="0" applyAlignment="1" applyBorder="1" applyFont="1" applyNumberFormat="1">
      <alignment vertical="bottom"/>
    </xf>
    <xf borderId="20" fillId="4" fontId="6" numFmtId="10" xfId="0" applyAlignment="1" applyBorder="1" applyFont="1" applyNumberFormat="1">
      <alignment vertical="bottom"/>
    </xf>
    <xf borderId="20" fillId="4" fontId="1" numFmtId="10" xfId="0" applyAlignment="1" applyBorder="1" applyFont="1" applyNumberFormat="1">
      <alignment vertical="bottom"/>
    </xf>
    <xf borderId="0" fillId="4" fontId="1" numFmtId="0" xfId="0" applyAlignment="1" applyFont="1">
      <alignment vertical="bottom"/>
    </xf>
    <xf borderId="8" fillId="4" fontId="1" numFmtId="0" xfId="0" applyAlignment="1" applyBorder="1" applyFont="1">
      <alignment vertical="bottom"/>
    </xf>
    <xf borderId="25" fillId="4" fontId="6" numFmtId="164" xfId="0" applyAlignment="1" applyBorder="1" applyFont="1" applyNumberFormat="1">
      <alignment vertical="bottom"/>
    </xf>
    <xf borderId="8" fillId="4" fontId="4" numFmtId="10" xfId="0" applyAlignment="1" applyBorder="1" applyFont="1" applyNumberFormat="1">
      <alignment vertical="bottom"/>
    </xf>
    <xf borderId="20" fillId="4" fontId="1" numFmtId="164" xfId="0" applyAlignment="1" applyBorder="1" applyFont="1" applyNumberFormat="1">
      <alignment vertical="bottom"/>
    </xf>
    <xf borderId="18" fillId="4" fontId="6" numFmtId="164" xfId="0" applyAlignment="1" applyBorder="1" applyFont="1" applyNumberFormat="1">
      <alignment vertical="bottom"/>
    </xf>
    <xf borderId="27" fillId="0" fontId="7" numFmtId="0" xfId="0" applyBorder="1" applyFont="1"/>
    <xf borderId="27" fillId="0" fontId="4" numFmtId="10" xfId="0" applyAlignment="1" applyBorder="1" applyFont="1" applyNumberFormat="1">
      <alignment horizontal="right" vertical="bottom"/>
    </xf>
    <xf borderId="19" fillId="0" fontId="4" numFmtId="10" xfId="0" applyAlignment="1" applyBorder="1" applyFont="1" applyNumberFormat="1">
      <alignment horizontal="center" vertical="bottom"/>
    </xf>
    <xf borderId="8" fillId="4" fontId="1" numFmtId="165" xfId="0" applyAlignment="1" applyBorder="1" applyFont="1" applyNumberFormat="1">
      <alignment vertical="bottom"/>
    </xf>
    <xf borderId="20" fillId="4" fontId="1" numFmtId="165" xfId="0" applyAlignment="1" applyBorder="1" applyFont="1" applyNumberFormat="1">
      <alignment vertical="bottom"/>
    </xf>
    <xf borderId="0" fillId="4" fontId="1" numFmtId="165" xfId="0" applyAlignment="1" applyFont="1" applyNumberFormat="1">
      <alignment vertical="bottom"/>
    </xf>
    <xf borderId="24" fillId="4" fontId="6" numFmtId="0" xfId="0" applyAlignment="1" applyBorder="1" applyFont="1">
      <alignment vertical="bottom"/>
    </xf>
    <xf borderId="14" fillId="0" fontId="7" numFmtId="0" xfId="0" applyBorder="1" applyFont="1"/>
    <xf borderId="24" fillId="4" fontId="4" numFmtId="166" xfId="0" applyAlignment="1" applyBorder="1" applyFont="1" applyNumberFormat="1">
      <alignment horizontal="right" vertical="bottom"/>
    </xf>
    <xf borderId="13" fillId="4" fontId="4" numFmtId="166" xfId="0" applyAlignment="1" applyBorder="1" applyFont="1" applyNumberFormat="1">
      <alignment horizontal="right" vertical="bottom"/>
    </xf>
    <xf borderId="14" fillId="4" fontId="4" numFmtId="166" xfId="0" applyAlignment="1" applyBorder="1" applyFont="1" applyNumberFormat="1">
      <alignment horizontal="right" vertical="bottom"/>
    </xf>
    <xf borderId="21" fillId="4" fontId="6" numFmtId="0" xfId="0" applyAlignment="1" applyBorder="1" applyFont="1">
      <alignment vertical="bottom"/>
    </xf>
    <xf borderId="15" fillId="0" fontId="7" numFmtId="0" xfId="0" applyBorder="1" applyFont="1"/>
    <xf borderId="21" fillId="4" fontId="6" numFmtId="10" xfId="0" applyAlignment="1" applyBorder="1" applyFont="1" applyNumberFormat="1">
      <alignment horizontal="right" vertical="bottom"/>
    </xf>
    <xf borderId="5" fillId="4" fontId="1" numFmtId="166" xfId="0" applyAlignment="1" applyBorder="1" applyFont="1" applyNumberFormat="1">
      <alignment vertical="bottom"/>
    </xf>
    <xf borderId="15" fillId="4" fontId="1" numFmtId="166" xfId="0" applyAlignment="1" applyBorder="1" applyFont="1" applyNumberFormat="1">
      <alignment vertical="bottom"/>
    </xf>
    <xf borderId="4" fillId="4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0" fontId="9" numFmtId="3" xfId="0" applyFont="1" applyNumberFormat="1"/>
    <xf borderId="0" fillId="0" fontId="9" numFmtId="0" xfId="0" applyFont="1"/>
    <xf borderId="0" fillId="0" fontId="8" numFmtId="0" xfId="0" applyFont="1"/>
    <xf borderId="1" fillId="2" fontId="3" numFmtId="0" xfId="0" applyAlignment="1" applyBorder="1" applyFont="1">
      <alignment readingOrder="0" vertical="bottom"/>
    </xf>
    <xf borderId="20" fillId="4" fontId="6" numFmtId="0" xfId="0" applyAlignment="1" applyBorder="1" applyFont="1">
      <alignment readingOrder="0" vertical="bottom"/>
    </xf>
    <xf borderId="24" fillId="4" fontId="6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44.63"/>
    <col customWidth="1" min="3" max="3" width="27.38"/>
    <col customWidth="1" min="4" max="4" width="28.25"/>
    <col customWidth="1" min="5" max="5" width="25.25"/>
    <col customWidth="1" min="6" max="6" width="28.5"/>
    <col customWidth="1" min="7" max="7" width="22.5"/>
    <col customWidth="1" min="8" max="8" width="23.0"/>
    <col customWidth="1" min="13" max="13" width="20.0"/>
    <col customWidth="1" min="14" max="14" width="24.0"/>
    <col customWidth="1" min="15" max="15" width="16.13"/>
    <col customWidth="1" min="16" max="16" width="1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B3" s="1"/>
      <c r="C3" s="1"/>
      <c r="D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3" t="s">
        <v>1</v>
      </c>
      <c r="C4" s="4" t="s">
        <v>2</v>
      </c>
      <c r="D4" s="5" t="s">
        <v>3</v>
      </c>
      <c r="F4" s="6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7" t="s">
        <v>5</v>
      </c>
      <c r="C5" s="8">
        <f>IFERROR(__xludf.DUMMYFUNCTION("GOOGLEFINANCE(B5, ""price"")"),249.32)</f>
        <v>249.32</v>
      </c>
      <c r="D5" s="9">
        <v>20.0</v>
      </c>
      <c r="F5" s="10">
        <f>(H31/C31)^(1/5)-1</f>
        <v>0.1172729684</v>
      </c>
      <c r="H5" s="1"/>
      <c r="I5" s="1"/>
      <c r="J5" s="1"/>
      <c r="K5" s="11"/>
      <c r="L5" s="12"/>
      <c r="M5" s="12"/>
      <c r="N5" s="13"/>
      <c r="O5" s="12"/>
      <c r="P5" s="13"/>
      <c r="Q5" s="1"/>
      <c r="R5" s="1"/>
      <c r="S5" s="1"/>
      <c r="T5" s="1"/>
      <c r="U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1"/>
      <c r="L6" s="12"/>
      <c r="M6" s="12"/>
      <c r="N6" s="13"/>
      <c r="O6" s="12"/>
      <c r="P6" s="13"/>
      <c r="Q6" s="1"/>
      <c r="R6" s="1"/>
      <c r="S6" s="1"/>
      <c r="T6" s="1"/>
      <c r="U6" s="1"/>
    </row>
    <row r="7">
      <c r="A7" s="1"/>
      <c r="B7" s="1"/>
      <c r="C7" s="1"/>
      <c r="D7" s="1"/>
      <c r="F7" s="1"/>
      <c r="G7" s="1"/>
      <c r="H7" s="1"/>
      <c r="I7" s="1"/>
      <c r="J7" s="1"/>
      <c r="K7" s="11"/>
      <c r="L7" s="12"/>
      <c r="M7" s="12"/>
      <c r="N7" s="13"/>
      <c r="O7" s="12"/>
      <c r="P7" s="13"/>
      <c r="Q7" s="1"/>
      <c r="R7" s="1"/>
      <c r="S7" s="1"/>
      <c r="T7" s="1"/>
      <c r="U7" s="1"/>
    </row>
    <row r="8">
      <c r="A8" s="1"/>
      <c r="B8" s="3" t="s">
        <v>6</v>
      </c>
      <c r="C8" s="6" t="s">
        <v>7</v>
      </c>
      <c r="D8" s="14" t="s">
        <v>8</v>
      </c>
      <c r="E8" s="1"/>
      <c r="G8" s="1"/>
      <c r="H8" s="1"/>
      <c r="I8" s="1"/>
      <c r="J8" s="1"/>
      <c r="K8" s="1"/>
      <c r="L8" s="12"/>
      <c r="M8" s="12"/>
      <c r="N8" s="13"/>
      <c r="O8" s="12"/>
      <c r="P8" s="13"/>
      <c r="Q8" s="1"/>
      <c r="R8" s="1"/>
      <c r="S8" s="1"/>
      <c r="T8" s="1"/>
      <c r="U8" s="1"/>
    </row>
    <row r="9">
      <c r="A9" s="1"/>
      <c r="B9" s="15">
        <v>0.09</v>
      </c>
      <c r="C9" s="15">
        <v>0.085</v>
      </c>
      <c r="D9" s="15">
        <v>0.08</v>
      </c>
      <c r="G9" s="1"/>
      <c r="H9" s="1"/>
      <c r="I9" s="1"/>
      <c r="J9" s="1"/>
      <c r="K9" s="1"/>
      <c r="L9" s="12"/>
      <c r="M9" s="12"/>
      <c r="N9" s="13"/>
      <c r="O9" s="12"/>
      <c r="P9" s="13"/>
      <c r="Q9" s="1"/>
      <c r="R9" s="1"/>
      <c r="S9" s="1"/>
      <c r="T9" s="1"/>
      <c r="U9" s="1"/>
    </row>
    <row r="10">
      <c r="A10" s="1"/>
      <c r="B10" s="1"/>
      <c r="C10" s="1"/>
      <c r="D10" s="1"/>
      <c r="F10" s="1"/>
      <c r="G10" s="1"/>
      <c r="H10" s="1"/>
      <c r="I10" s="1"/>
      <c r="J10" s="1"/>
      <c r="K10" s="1"/>
      <c r="L10" s="12"/>
      <c r="M10" s="12"/>
      <c r="N10" s="13"/>
      <c r="O10" s="12"/>
      <c r="P10" s="13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2"/>
      <c r="M11" s="12"/>
      <c r="N11" s="13"/>
      <c r="O11" s="12"/>
      <c r="P11" s="13"/>
      <c r="Q11" s="1"/>
      <c r="R11" s="1"/>
      <c r="S11" s="1"/>
      <c r="T11" s="1"/>
      <c r="U11" s="1"/>
    </row>
    <row r="12">
      <c r="A12" s="1"/>
      <c r="B12" s="6" t="s">
        <v>9</v>
      </c>
      <c r="C12" s="5" t="s">
        <v>10</v>
      </c>
      <c r="D12" s="5" t="s">
        <v>11</v>
      </c>
      <c r="E12" s="1"/>
      <c r="F12" s="1"/>
      <c r="G12" s="1"/>
      <c r="H12" s="1"/>
      <c r="I12" s="1"/>
      <c r="J12" s="1"/>
      <c r="K12" s="1"/>
      <c r="L12" s="12"/>
      <c r="M12" s="12"/>
      <c r="N12" s="13"/>
      <c r="O12" s="12"/>
      <c r="P12" s="13"/>
      <c r="Q12" s="1"/>
      <c r="R12" s="1"/>
      <c r="S12" s="1"/>
      <c r="T12" s="1"/>
      <c r="U12" s="1"/>
    </row>
    <row r="13">
      <c r="A13" s="1"/>
      <c r="B13" s="15">
        <v>-0.015</v>
      </c>
      <c r="C13" s="15">
        <v>0.0</v>
      </c>
      <c r="D13" s="16">
        <v>0.0</v>
      </c>
      <c r="E13" s="1"/>
      <c r="F13" s="1"/>
      <c r="G13" s="1"/>
      <c r="H13" s="1"/>
      <c r="I13" s="1"/>
      <c r="J13" s="1"/>
      <c r="K13" s="1"/>
      <c r="L13" s="12"/>
      <c r="M13" s="12"/>
      <c r="N13" s="13"/>
      <c r="O13" s="12"/>
      <c r="P13" s="13"/>
      <c r="Q13" s="1"/>
      <c r="R13" s="1"/>
      <c r="S13" s="1"/>
      <c r="T13" s="1"/>
      <c r="U13" s="1"/>
    </row>
    <row r="14">
      <c r="A14" s="1"/>
      <c r="B14" s="1"/>
      <c r="C14" s="1"/>
      <c r="D14" s="17"/>
      <c r="E14" s="17"/>
      <c r="F14" s="17"/>
      <c r="G14" s="17"/>
      <c r="H14" s="17"/>
      <c r="I14" s="1"/>
      <c r="J14" s="1"/>
      <c r="K14" s="1"/>
      <c r="L14" s="12"/>
      <c r="M14" s="12"/>
      <c r="N14" s="13"/>
      <c r="O14" s="12"/>
      <c r="P14" s="13"/>
      <c r="Q14" s="1"/>
      <c r="R14" s="1"/>
      <c r="S14" s="1"/>
      <c r="T14" s="1"/>
      <c r="U14" s="1"/>
    </row>
    <row r="15">
      <c r="A15" s="1"/>
      <c r="B15" s="1"/>
      <c r="C15" s="1"/>
      <c r="D15" s="17">
        <v>1.0</v>
      </c>
      <c r="E15" s="17">
        <v>2.0</v>
      </c>
      <c r="F15" s="17">
        <v>3.0</v>
      </c>
      <c r="G15" s="17">
        <v>4.0</v>
      </c>
      <c r="H15" s="17">
        <v>5.0</v>
      </c>
      <c r="I15" s="1"/>
      <c r="J15" s="1"/>
      <c r="K15" s="1"/>
      <c r="L15" s="12"/>
      <c r="M15" s="12"/>
      <c r="N15" s="13"/>
      <c r="O15" s="12"/>
      <c r="P15" s="13"/>
      <c r="Q15" s="1"/>
      <c r="R15" s="1"/>
      <c r="S15" s="1"/>
      <c r="T15" s="1"/>
      <c r="U15" s="1"/>
    </row>
    <row r="16">
      <c r="A16" s="1"/>
      <c r="B16" s="18" t="s">
        <v>12</v>
      </c>
      <c r="C16" s="19">
        <v>2025.0</v>
      </c>
      <c r="D16" s="19">
        <v>2026.0</v>
      </c>
      <c r="E16" s="19">
        <v>2027.0</v>
      </c>
      <c r="F16" s="19">
        <v>2028.0</v>
      </c>
      <c r="G16" s="19">
        <v>2029.0</v>
      </c>
      <c r="H16" s="20">
        <v>2030.0</v>
      </c>
      <c r="I16" s="1"/>
      <c r="J16" s="1"/>
      <c r="K16" s="1"/>
      <c r="L16" s="12"/>
      <c r="M16" s="12"/>
      <c r="N16" s="13"/>
      <c r="O16" s="12"/>
      <c r="P16" s="13"/>
      <c r="Q16" s="1"/>
      <c r="R16" s="1"/>
      <c r="S16" s="1"/>
      <c r="T16" s="1"/>
      <c r="U16" s="1"/>
    </row>
    <row r="17">
      <c r="A17" s="1"/>
      <c r="B17" s="21" t="s">
        <v>13</v>
      </c>
      <c r="C17" s="22">
        <v>23.181</v>
      </c>
      <c r="D17" s="23">
        <f t="shared" ref="D17:H17" si="1">C17*(1+$B$9)</f>
        <v>25.26729</v>
      </c>
      <c r="E17" s="23">
        <f t="shared" si="1"/>
        <v>27.5413461</v>
      </c>
      <c r="F17" s="23">
        <f t="shared" si="1"/>
        <v>30.02006725</v>
      </c>
      <c r="G17" s="23">
        <f t="shared" si="1"/>
        <v>32.7218733</v>
      </c>
      <c r="H17" s="24">
        <f t="shared" si="1"/>
        <v>35.6668419</v>
      </c>
      <c r="I17" s="1"/>
      <c r="J17" s="1"/>
      <c r="K17" s="1"/>
      <c r="L17" s="12"/>
      <c r="M17" s="12"/>
      <c r="N17" s="13"/>
      <c r="O17" s="12"/>
      <c r="P17" s="13"/>
      <c r="Q17" s="1"/>
      <c r="R17" s="1"/>
      <c r="S17" s="1"/>
      <c r="T17" s="1"/>
      <c r="U17" s="1"/>
    </row>
    <row r="18">
      <c r="A18" s="1"/>
      <c r="B18" s="25"/>
      <c r="C18" s="26"/>
      <c r="D18" s="26"/>
      <c r="E18" s="26"/>
      <c r="F18" s="26"/>
      <c r="G18" s="26"/>
      <c r="H18" s="27"/>
      <c r="I18" s="1"/>
      <c r="J18" s="1"/>
      <c r="K18" s="1"/>
      <c r="L18" s="12"/>
      <c r="M18" s="12"/>
      <c r="N18" s="13"/>
      <c r="O18" s="12"/>
      <c r="P18" s="13"/>
      <c r="Q18" s="1"/>
      <c r="R18" s="1"/>
      <c r="S18" s="1"/>
      <c r="T18" s="1"/>
      <c r="U18" s="1"/>
    </row>
    <row r="19">
      <c r="A19" s="1"/>
      <c r="B19" s="28" t="s">
        <v>14</v>
      </c>
      <c r="C19" s="22">
        <v>2.518</v>
      </c>
      <c r="D19" s="23">
        <f t="shared" ref="D19:H19" si="2">C19*(1+$D$9)</f>
        <v>2.71944</v>
      </c>
      <c r="E19" s="23">
        <f t="shared" si="2"/>
        <v>2.9369952</v>
      </c>
      <c r="F19" s="23">
        <f t="shared" si="2"/>
        <v>3.171954816</v>
      </c>
      <c r="G19" s="23">
        <f t="shared" si="2"/>
        <v>3.425711201</v>
      </c>
      <c r="H19" s="24">
        <f t="shared" si="2"/>
        <v>3.699768097</v>
      </c>
      <c r="I19" s="1"/>
      <c r="J19" s="1"/>
      <c r="K19" s="1"/>
      <c r="L19" s="12"/>
      <c r="M19" s="12"/>
      <c r="N19" s="13"/>
      <c r="O19" s="12"/>
      <c r="P19" s="13"/>
      <c r="Q19" s="1"/>
      <c r="R19" s="1"/>
      <c r="S19" s="1"/>
      <c r="T19" s="1"/>
      <c r="U19" s="1"/>
    </row>
    <row r="20">
      <c r="A20" s="1"/>
      <c r="B20" s="29" t="s">
        <v>15</v>
      </c>
      <c r="C20" s="22">
        <v>12.261</v>
      </c>
      <c r="D20" s="23">
        <f t="shared" ref="D20:H20" si="3">C20*(1+$C$9)</f>
        <v>13.303185</v>
      </c>
      <c r="E20" s="23">
        <f t="shared" si="3"/>
        <v>14.43395573</v>
      </c>
      <c r="F20" s="23">
        <f t="shared" si="3"/>
        <v>15.66084196</v>
      </c>
      <c r="G20" s="23">
        <f t="shared" si="3"/>
        <v>16.99201353</v>
      </c>
      <c r="H20" s="24">
        <f t="shared" si="3"/>
        <v>18.43633468</v>
      </c>
      <c r="I20" s="1"/>
      <c r="J20" s="1"/>
      <c r="K20" s="1"/>
      <c r="L20" s="12"/>
      <c r="M20" s="12"/>
      <c r="N20" s="13"/>
      <c r="O20" s="12"/>
      <c r="P20" s="13"/>
      <c r="Q20" s="1"/>
      <c r="R20" s="1"/>
      <c r="S20" s="1"/>
      <c r="T20" s="1"/>
      <c r="U20" s="1"/>
    </row>
    <row r="21">
      <c r="A21" s="1"/>
      <c r="B21" s="25"/>
      <c r="C21" s="30"/>
      <c r="D21" s="30"/>
      <c r="E21" s="30"/>
      <c r="F21" s="30"/>
      <c r="G21" s="30"/>
      <c r="H21" s="31"/>
      <c r="I21" s="1"/>
      <c r="J21" s="1"/>
      <c r="K21" s="1"/>
      <c r="L21" s="12"/>
      <c r="M21" s="12"/>
      <c r="N21" s="13"/>
      <c r="O21" s="12"/>
      <c r="P21" s="13"/>
      <c r="Q21" s="1"/>
      <c r="R21" s="1"/>
      <c r="S21" s="1"/>
      <c r="T21" s="1"/>
      <c r="U21" s="1"/>
    </row>
    <row r="22">
      <c r="A22" s="1"/>
      <c r="B22" s="21" t="s">
        <v>16</v>
      </c>
      <c r="C22" s="23">
        <f t="shared" ref="C22:H22" si="4">C17-C19-C20</f>
        <v>8.402</v>
      </c>
      <c r="D22" s="23">
        <f t="shared" si="4"/>
        <v>9.244665</v>
      </c>
      <c r="E22" s="23">
        <f t="shared" si="4"/>
        <v>10.17039518</v>
      </c>
      <c r="F22" s="23">
        <f t="shared" si="4"/>
        <v>11.18727047</v>
      </c>
      <c r="G22" s="23">
        <f t="shared" si="4"/>
        <v>12.30414857</v>
      </c>
      <c r="H22" s="24">
        <f t="shared" si="4"/>
        <v>13.53073912</v>
      </c>
      <c r="I22" s="1"/>
      <c r="J22" s="1"/>
      <c r="K22" s="1"/>
      <c r="L22" s="12"/>
      <c r="M22" s="12"/>
      <c r="N22" s="13"/>
      <c r="O22" s="12"/>
      <c r="P22" s="13"/>
      <c r="Q22" s="1"/>
      <c r="R22" s="1"/>
      <c r="S22" s="1"/>
      <c r="T22" s="1"/>
      <c r="U22" s="1"/>
    </row>
    <row r="23">
      <c r="A23" s="1"/>
      <c r="B23" s="29" t="s">
        <v>17</v>
      </c>
      <c r="C23" s="32">
        <f t="shared" ref="C23:H23" si="5">C22/C17</f>
        <v>0.3624520081</v>
      </c>
      <c r="D23" s="32">
        <f t="shared" si="5"/>
        <v>0.3658748129</v>
      </c>
      <c r="E23" s="32">
        <f t="shared" si="5"/>
        <v>0.3692773453</v>
      </c>
      <c r="F23" s="32">
        <f t="shared" si="5"/>
        <v>0.3726597405</v>
      </c>
      <c r="G23" s="32">
        <f t="shared" si="5"/>
        <v>0.3760221323</v>
      </c>
      <c r="H23" s="33">
        <f t="shared" si="5"/>
        <v>0.3793646536</v>
      </c>
      <c r="I23" s="1"/>
      <c r="J23" s="1"/>
      <c r="K23" s="1"/>
      <c r="L23" s="12"/>
      <c r="M23" s="12"/>
      <c r="N23" s="13"/>
      <c r="O23" s="12"/>
      <c r="P23" s="13"/>
      <c r="Q23" s="1"/>
      <c r="R23" s="1"/>
      <c r="S23" s="1"/>
      <c r="T23" s="1"/>
      <c r="U23" s="1"/>
    </row>
    <row r="24">
      <c r="A24" s="1"/>
      <c r="B24" s="34"/>
      <c r="C24" s="26"/>
      <c r="D24" s="26"/>
      <c r="E24" s="26"/>
      <c r="F24" s="26"/>
      <c r="G24" s="26"/>
      <c r="H24" s="2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21" t="s">
        <v>18</v>
      </c>
      <c r="C25" s="22">
        <v>0.059</v>
      </c>
      <c r="D25" s="22">
        <v>0.0</v>
      </c>
      <c r="E25" s="22">
        <v>0.0</v>
      </c>
      <c r="F25" s="22">
        <v>0.0</v>
      </c>
      <c r="G25" s="22">
        <v>0.0</v>
      </c>
      <c r="H25" s="35">
        <v>0.0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28" t="s">
        <v>19</v>
      </c>
      <c r="C26" s="22">
        <v>1.504</v>
      </c>
      <c r="D26" s="23">
        <f t="shared" ref="D26:H26" si="6">D22*0.17</f>
        <v>1.57159305</v>
      </c>
      <c r="E26" s="23">
        <f t="shared" si="6"/>
        <v>1.72896718</v>
      </c>
      <c r="F26" s="23">
        <f t="shared" si="6"/>
        <v>1.90183598</v>
      </c>
      <c r="G26" s="23">
        <f t="shared" si="6"/>
        <v>2.091705257</v>
      </c>
      <c r="H26" s="24">
        <f t="shared" si="6"/>
        <v>2.300225651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36" t="s">
        <v>20</v>
      </c>
      <c r="C27" s="37">
        <f t="shared" ref="C27:H27" si="7">C22-C26+C25</f>
        <v>6.957</v>
      </c>
      <c r="D27" s="37">
        <f t="shared" si="7"/>
        <v>7.67307195</v>
      </c>
      <c r="E27" s="37">
        <f t="shared" si="7"/>
        <v>8.441427995</v>
      </c>
      <c r="F27" s="37">
        <f t="shared" si="7"/>
        <v>9.285434491</v>
      </c>
      <c r="G27" s="37">
        <f t="shared" si="7"/>
        <v>10.21244331</v>
      </c>
      <c r="H27" s="38">
        <f t="shared" si="7"/>
        <v>11.23051347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36" t="s">
        <v>21</v>
      </c>
      <c r="C29" s="39">
        <v>0.4331</v>
      </c>
      <c r="D29" s="40">
        <f t="shared" ref="D29:H29" si="8">C29*(1+$B$13)</f>
        <v>0.4266035</v>
      </c>
      <c r="E29" s="40">
        <f t="shared" si="8"/>
        <v>0.4202044475</v>
      </c>
      <c r="F29" s="40">
        <f t="shared" si="8"/>
        <v>0.4139013808</v>
      </c>
      <c r="G29" s="40">
        <f t="shared" si="8"/>
        <v>0.4076928601</v>
      </c>
      <c r="H29" s="41">
        <f t="shared" si="8"/>
        <v>0.4015774672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1"/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42" t="s">
        <v>22</v>
      </c>
      <c r="C31" s="37">
        <f t="shared" ref="C31:H31" si="9">C27/C29</f>
        <v>16.06326483</v>
      </c>
      <c r="D31" s="37">
        <f t="shared" si="9"/>
        <v>17.98642522</v>
      </c>
      <c r="E31" s="37">
        <f t="shared" si="9"/>
        <v>20.08885923</v>
      </c>
      <c r="F31" s="37">
        <f t="shared" si="9"/>
        <v>22.43392973</v>
      </c>
      <c r="G31" s="37">
        <f t="shared" si="9"/>
        <v>25.04935532</v>
      </c>
      <c r="H31" s="38">
        <f t="shared" si="9"/>
        <v>27.96599508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43" t="s">
        <v>23</v>
      </c>
      <c r="C33" s="44">
        <f>C5</f>
        <v>249.32</v>
      </c>
      <c r="D33" s="44">
        <f t="shared" ref="D33:G33" si="10">C33*(1+(($H$33/$C$5)^(1/$H$15)-1))</f>
        <v>293.0473167</v>
      </c>
      <c r="E33" s="44">
        <f t="shared" si="10"/>
        <v>344.4438064</v>
      </c>
      <c r="F33" s="44">
        <f t="shared" si="10"/>
        <v>404.8545373</v>
      </c>
      <c r="G33" s="44">
        <f t="shared" si="10"/>
        <v>475.8604837</v>
      </c>
      <c r="H33" s="45">
        <f>D5*H31</f>
        <v>559.3199016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46" t="s">
        <v>24</v>
      </c>
      <c r="C34" s="47">
        <v>1.0</v>
      </c>
      <c r="D34" s="47">
        <f>1+($D$13/$C$33)*((1+$C$13)/(1+($H$33/$C$5)^(1/$H$15)-1))^(D15-1)</f>
        <v>1</v>
      </c>
      <c r="E34" s="47">
        <f t="shared" ref="E34:H34" si="11">(1+($D$13/$C$33)*((1+$C$13)/(1+($H$33/$C$5)^(1/$H$15)-1))^(E15-1))*D34</f>
        <v>1</v>
      </c>
      <c r="F34" s="47">
        <f t="shared" si="11"/>
        <v>1</v>
      </c>
      <c r="G34" s="47">
        <f t="shared" si="11"/>
        <v>1</v>
      </c>
      <c r="H34" s="48">
        <f t="shared" si="11"/>
        <v>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42" t="s">
        <v>25</v>
      </c>
      <c r="C36" s="49">
        <f>($H$33/$C$5)^(1/$H$15)-1</f>
        <v>0.1753863176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42" t="s">
        <v>26</v>
      </c>
      <c r="C37" s="49">
        <f>((H34*H33)/C33)^(1/H15)-1</f>
        <v>0.1753863176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50" t="s">
        <v>27</v>
      </c>
      <c r="C39" s="51">
        <f>E33</f>
        <v>344.4438064</v>
      </c>
      <c r="D39" s="1"/>
      <c r="E39" s="1"/>
      <c r="F39" s="11"/>
      <c r="G39" s="1"/>
      <c r="H39" s="11"/>
      <c r="I39" s="13"/>
      <c r="J39" s="1"/>
      <c r="K39" s="1"/>
      <c r="L39" s="11"/>
      <c r="M39" s="11"/>
      <c r="N39" s="1"/>
      <c r="O39" s="1"/>
      <c r="P39" s="1"/>
      <c r="Q39" s="1"/>
      <c r="R39" s="1"/>
      <c r="S39" s="1"/>
      <c r="T39" s="1"/>
      <c r="U39" s="1"/>
    </row>
    <row r="40">
      <c r="A40" s="1"/>
      <c r="B40" s="52" t="s">
        <v>28</v>
      </c>
      <c r="C40" s="53">
        <f>C37</f>
        <v>0.1753863176</v>
      </c>
      <c r="D40" s="13"/>
      <c r="E40" s="1"/>
      <c r="F40" s="1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3"/>
      <c r="C41" s="12"/>
      <c r="D41" s="1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3"/>
      <c r="C42" s="12"/>
      <c r="D42" s="1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54" t="s">
        <v>29</v>
      </c>
      <c r="C43" s="12"/>
      <c r="D43" s="1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55" t="s">
        <v>30</v>
      </c>
      <c r="C44" s="56" t="s">
        <v>31</v>
      </c>
      <c r="D44" s="57" t="s">
        <v>32</v>
      </c>
      <c r="E44" s="1"/>
      <c r="F44" s="1"/>
      <c r="G44" s="1"/>
      <c r="H44" s="1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58">
        <v>15.0</v>
      </c>
      <c r="C45" s="23">
        <f t="shared" ref="C45:C53" si="12">B45*$H$31</f>
        <v>419.4899262</v>
      </c>
      <c r="D45" s="33">
        <f t="shared" ref="D45:D53" si="13">(C45/$C$5)^(1/5)-1</f>
        <v>0.1096675434</v>
      </c>
      <c r="E45" s="1"/>
      <c r="F45" s="1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58">
        <v>17.0</v>
      </c>
      <c r="C46" s="23">
        <f t="shared" si="12"/>
        <v>475.4219164</v>
      </c>
      <c r="D46" s="33">
        <f t="shared" si="13"/>
        <v>0.137796035</v>
      </c>
      <c r="E46" s="1"/>
      <c r="F46" s="1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58">
        <v>20.0</v>
      </c>
      <c r="C47" s="23">
        <f t="shared" si="12"/>
        <v>559.3199016</v>
      </c>
      <c r="D47" s="33">
        <f t="shared" si="13"/>
        <v>0.1753863176</v>
      </c>
      <c r="E47" s="1"/>
      <c r="F47" s="1"/>
      <c r="G47" s="11"/>
      <c r="H47" s="1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59">
        <v>23.0</v>
      </c>
      <c r="C48" s="60">
        <f t="shared" si="12"/>
        <v>643.2178869</v>
      </c>
      <c r="D48" s="61">
        <f t="shared" si="13"/>
        <v>0.2087046669</v>
      </c>
      <c r="E48" s="1"/>
      <c r="F48" s="1"/>
      <c r="G48" s="1"/>
      <c r="H48" s="1"/>
      <c r="I48" s="6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59">
        <v>25.0</v>
      </c>
      <c r="C49" s="60">
        <f t="shared" si="12"/>
        <v>699.149877</v>
      </c>
      <c r="D49" s="61">
        <f t="shared" si="13"/>
        <v>0.2290304232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59">
        <v>27.0</v>
      </c>
      <c r="C50" s="60">
        <f t="shared" si="12"/>
        <v>755.0818672</v>
      </c>
      <c r="D50" s="61">
        <f t="shared" si="13"/>
        <v>0.2480942563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58">
        <v>30.0</v>
      </c>
      <c r="C51" s="23">
        <f t="shared" si="12"/>
        <v>838.9798525</v>
      </c>
      <c r="D51" s="33">
        <f t="shared" si="13"/>
        <v>0.2746732817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58">
        <v>33.0</v>
      </c>
      <c r="C52" s="23">
        <f t="shared" si="12"/>
        <v>922.8778377</v>
      </c>
      <c r="D52" s="33">
        <f t="shared" si="13"/>
        <v>0.2992042115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63">
        <v>35.0</v>
      </c>
      <c r="C53" s="64">
        <f t="shared" si="12"/>
        <v>978.8098279</v>
      </c>
      <c r="D53" s="65">
        <f t="shared" si="13"/>
        <v>0.3145836928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66" t="s">
        <v>33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66" t="s">
        <v>34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66" t="s">
        <v>35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8.88"/>
    <col customWidth="1" min="3" max="3" width="47.0"/>
    <col customWidth="1" min="4" max="4" width="24.0"/>
    <col customWidth="1" min="5" max="6" width="25.25"/>
    <col customWidth="1" min="7" max="7" width="22.5"/>
    <col customWidth="1" min="8" max="8" width="23.0"/>
    <col customWidth="1" min="10" max="10" width="25.25"/>
    <col customWidth="1" min="12" max="12" width="22.88"/>
    <col customWidth="1" min="13" max="13" width="20.0"/>
    <col customWidth="1" min="14" max="14" width="24.0"/>
    <col customWidth="1" min="15" max="15" width="16.13"/>
    <col customWidth="1" min="16" max="16" width="43.63"/>
    <col customWidth="1" min="17" max="17" width="13.0"/>
    <col customWidth="1" min="20" max="21" width="13.0"/>
    <col customWidth="1" min="22" max="22" width="2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67" t="s">
        <v>36</v>
      </c>
      <c r="C2" s="68"/>
      <c r="D2" s="69">
        <v>2025.0</v>
      </c>
      <c r="E2" s="69">
        <v>2026.0</v>
      </c>
      <c r="F2" s="69">
        <v>2027.0</v>
      </c>
      <c r="G2" s="69">
        <v>2028.0</v>
      </c>
      <c r="H2" s="69">
        <v>2029.0</v>
      </c>
      <c r="I2" s="70">
        <v>2030.0</v>
      </c>
      <c r="J2" s="70" t="s">
        <v>37</v>
      </c>
      <c r="K2" s="1"/>
      <c r="L2" s="70" t="s">
        <v>38</v>
      </c>
      <c r="M2" s="1"/>
      <c r="N2" s="1"/>
      <c r="O2" s="50" t="s">
        <v>36</v>
      </c>
      <c r="P2" s="71"/>
      <c r="Q2" s="69" t="s">
        <v>39</v>
      </c>
      <c r="R2" s="69" t="s">
        <v>40</v>
      </c>
      <c r="S2" s="69" t="s">
        <v>41</v>
      </c>
      <c r="T2" s="69" t="s">
        <v>42</v>
      </c>
      <c r="U2" s="69" t="s">
        <v>43</v>
      </c>
      <c r="V2" s="70" t="s">
        <v>38</v>
      </c>
      <c r="W2" s="1"/>
      <c r="X2" s="1"/>
      <c r="Y2" s="1"/>
      <c r="Z2" s="1"/>
      <c r="AA2" s="1"/>
      <c r="AB2" s="1"/>
      <c r="AC2" s="1"/>
      <c r="AD2" s="1"/>
    </row>
    <row r="3">
      <c r="A3" s="1"/>
      <c r="B3" s="72" t="s">
        <v>44</v>
      </c>
      <c r="C3" s="73"/>
      <c r="D3" s="74"/>
      <c r="E3" s="75"/>
      <c r="F3" s="75"/>
      <c r="G3" s="75"/>
      <c r="H3" s="75"/>
      <c r="I3" s="76"/>
      <c r="J3" s="1"/>
      <c r="K3" s="1"/>
      <c r="L3" s="77"/>
      <c r="M3" s="1"/>
      <c r="N3" s="1"/>
      <c r="O3" s="78" t="s">
        <v>44</v>
      </c>
      <c r="Q3" s="1"/>
      <c r="R3" s="1"/>
      <c r="S3" s="1"/>
      <c r="T3" s="1"/>
      <c r="U3" s="1"/>
      <c r="V3" s="79"/>
      <c r="W3" s="1"/>
      <c r="X3" s="1"/>
      <c r="Y3" s="1"/>
      <c r="Z3" s="1"/>
      <c r="AA3" s="1"/>
      <c r="AB3" s="1"/>
      <c r="AC3" s="1"/>
      <c r="AD3" s="1"/>
    </row>
    <row r="4">
      <c r="A4" s="1"/>
      <c r="B4" s="80"/>
      <c r="C4" s="81" t="s">
        <v>45</v>
      </c>
      <c r="D4" s="82">
        <v>760.0</v>
      </c>
      <c r="E4" s="83">
        <f t="shared" ref="E4:I4" si="1">D4*(1+$L4)</f>
        <v>881.6</v>
      </c>
      <c r="F4" s="83">
        <f t="shared" si="1"/>
        <v>1022.656</v>
      </c>
      <c r="G4" s="83">
        <f t="shared" si="1"/>
        <v>1186.28096</v>
      </c>
      <c r="H4" s="83">
        <f t="shared" si="1"/>
        <v>1376.085914</v>
      </c>
      <c r="I4" s="84">
        <f t="shared" si="1"/>
        <v>1596.25966</v>
      </c>
      <c r="J4" s="85">
        <f t="shared" ref="J4:J7" si="3">I4/$I$22</f>
        <v>0.2500719367</v>
      </c>
      <c r="K4" s="1"/>
      <c r="L4" s="86">
        <v>0.16</v>
      </c>
      <c r="M4" s="1"/>
      <c r="N4" s="1"/>
      <c r="O4" s="87"/>
      <c r="P4" s="88" t="s">
        <v>45</v>
      </c>
      <c r="Q4" s="85">
        <v>0.35</v>
      </c>
      <c r="R4" s="85">
        <v>0.2</v>
      </c>
      <c r="S4" s="85">
        <v>-0.05</v>
      </c>
      <c r="T4" s="85">
        <v>0.2</v>
      </c>
      <c r="U4" s="85">
        <v>0.15</v>
      </c>
      <c r="V4" s="89">
        <f t="shared" ref="V4:V7" si="4">((1+Q4)*(1+R4)*(1+S4)*(1+T4)*(1+U4))^(1/5)-1</f>
        <v>0.1625818572</v>
      </c>
      <c r="W4" s="1"/>
      <c r="X4" s="1"/>
      <c r="Y4" s="1"/>
      <c r="Z4" s="1"/>
      <c r="AA4" s="1"/>
      <c r="AB4" s="1"/>
      <c r="AC4" s="1"/>
      <c r="AD4" s="1"/>
    </row>
    <row r="5">
      <c r="A5" s="1"/>
      <c r="B5" s="90"/>
      <c r="C5" s="91" t="s">
        <v>46</v>
      </c>
      <c r="D5" s="82">
        <v>626.0</v>
      </c>
      <c r="E5" s="83">
        <f t="shared" ref="E5:I5" si="2">D5*(1+$L5)</f>
        <v>782.5</v>
      </c>
      <c r="F5" s="83">
        <f t="shared" si="2"/>
        <v>978.125</v>
      </c>
      <c r="G5" s="83">
        <f t="shared" si="2"/>
        <v>1222.65625</v>
      </c>
      <c r="H5" s="83">
        <f t="shared" si="2"/>
        <v>1528.320313</v>
      </c>
      <c r="I5" s="84">
        <f t="shared" si="2"/>
        <v>1910.400391</v>
      </c>
      <c r="J5" s="85">
        <f t="shared" si="3"/>
        <v>0.2992855972</v>
      </c>
      <c r="K5" s="11"/>
      <c r="L5" s="86">
        <v>0.25</v>
      </c>
      <c r="M5" s="12"/>
      <c r="N5" s="13"/>
      <c r="O5" s="92"/>
      <c r="P5" s="93" t="s">
        <v>46</v>
      </c>
      <c r="Q5" s="85">
        <v>0.6</v>
      </c>
      <c r="R5" s="85">
        <v>0.3</v>
      </c>
      <c r="S5" s="85">
        <v>-0.45</v>
      </c>
      <c r="T5" s="85">
        <v>0.8</v>
      </c>
      <c r="U5" s="85">
        <v>0.5</v>
      </c>
      <c r="V5" s="89">
        <f t="shared" si="4"/>
        <v>0.2530198693</v>
      </c>
      <c r="W5" s="1"/>
      <c r="X5" s="1"/>
      <c r="Y5" s="1"/>
      <c r="Z5" s="1"/>
      <c r="AA5" s="1"/>
      <c r="AB5" s="1"/>
      <c r="AC5" s="1"/>
      <c r="AD5" s="1"/>
    </row>
    <row r="6">
      <c r="A6" s="1"/>
      <c r="B6" s="80"/>
      <c r="C6" s="81" t="s">
        <v>47</v>
      </c>
      <c r="D6" s="82">
        <v>177.0</v>
      </c>
      <c r="E6" s="83">
        <f t="shared" ref="E6:I6" si="5">D6*(1+$L6)</f>
        <v>201.78</v>
      </c>
      <c r="F6" s="83">
        <f t="shared" si="5"/>
        <v>230.0292</v>
      </c>
      <c r="G6" s="83">
        <f t="shared" si="5"/>
        <v>262.233288</v>
      </c>
      <c r="H6" s="83">
        <f t="shared" si="5"/>
        <v>298.9459483</v>
      </c>
      <c r="I6" s="84">
        <f t="shared" si="5"/>
        <v>340.7983811</v>
      </c>
      <c r="J6" s="85">
        <f t="shared" si="3"/>
        <v>0.05338987968</v>
      </c>
      <c r="K6" s="11"/>
      <c r="L6" s="86">
        <v>0.14</v>
      </c>
      <c r="M6" s="12"/>
      <c r="N6" s="13"/>
      <c r="O6" s="92"/>
      <c r="P6" s="93" t="s">
        <v>47</v>
      </c>
      <c r="Q6" s="85">
        <v>0.3</v>
      </c>
      <c r="R6" s="85">
        <v>0.1</v>
      </c>
      <c r="S6" s="85">
        <v>-0.2</v>
      </c>
      <c r="T6" s="85">
        <v>0.4</v>
      </c>
      <c r="U6" s="85">
        <v>0.2</v>
      </c>
      <c r="V6" s="89">
        <f t="shared" si="4"/>
        <v>0.1395858846</v>
      </c>
      <c r="W6" s="1"/>
      <c r="X6" s="1"/>
      <c r="Y6" s="1"/>
      <c r="Z6" s="1"/>
      <c r="AA6" s="1"/>
      <c r="AB6" s="1"/>
      <c r="AC6" s="1"/>
      <c r="AD6" s="1"/>
    </row>
    <row r="7">
      <c r="A7" s="1"/>
      <c r="B7" s="80"/>
      <c r="C7" s="81" t="s">
        <v>48</v>
      </c>
      <c r="D7" s="82">
        <v>84.0</v>
      </c>
      <c r="E7" s="83">
        <f t="shared" ref="E7:I7" si="6">D7*(1+$L7)</f>
        <v>94.92</v>
      </c>
      <c r="F7" s="83">
        <f t="shared" si="6"/>
        <v>107.2596</v>
      </c>
      <c r="G7" s="83">
        <f t="shared" si="6"/>
        <v>121.203348</v>
      </c>
      <c r="H7" s="83">
        <f t="shared" si="6"/>
        <v>136.9597832</v>
      </c>
      <c r="I7" s="84">
        <f t="shared" si="6"/>
        <v>154.7645551</v>
      </c>
      <c r="J7" s="85">
        <f t="shared" si="3"/>
        <v>0.02424559925</v>
      </c>
      <c r="K7" s="11"/>
      <c r="L7" s="86">
        <v>0.13</v>
      </c>
      <c r="M7" s="12"/>
      <c r="N7" s="13"/>
      <c r="O7" s="92"/>
      <c r="P7" s="93" t="s">
        <v>48</v>
      </c>
      <c r="Q7" s="85">
        <v>0.35</v>
      </c>
      <c r="R7" s="85">
        <v>0.2</v>
      </c>
      <c r="S7" s="85">
        <v>-0.1</v>
      </c>
      <c r="T7" s="85">
        <v>0.15</v>
      </c>
      <c r="U7" s="85">
        <v>0.1</v>
      </c>
      <c r="V7" s="89">
        <f t="shared" si="4"/>
        <v>0.1302372327</v>
      </c>
      <c r="W7" s="1"/>
      <c r="X7" s="1"/>
      <c r="Y7" s="1"/>
      <c r="Z7" s="1"/>
      <c r="AA7" s="1"/>
      <c r="AB7" s="1"/>
      <c r="AC7" s="1"/>
      <c r="AD7" s="1"/>
    </row>
    <row r="8">
      <c r="A8" s="1"/>
      <c r="B8" s="80"/>
      <c r="C8" s="73"/>
      <c r="D8" s="94"/>
      <c r="E8" s="95"/>
      <c r="F8" s="95"/>
      <c r="G8" s="95"/>
      <c r="H8" s="95"/>
      <c r="I8" s="96"/>
      <c r="J8" s="13"/>
      <c r="K8" s="1"/>
      <c r="L8" s="97"/>
      <c r="M8" s="12"/>
      <c r="N8" s="13"/>
      <c r="O8" s="92"/>
      <c r="Q8" s="13"/>
      <c r="R8" s="13"/>
      <c r="S8" s="13"/>
      <c r="T8" s="13"/>
      <c r="U8" s="13"/>
      <c r="V8" s="79"/>
      <c r="W8" s="1"/>
      <c r="X8" s="1"/>
      <c r="Y8" s="1"/>
      <c r="Z8" s="1"/>
      <c r="AA8" s="1"/>
      <c r="AB8" s="1"/>
      <c r="AC8" s="1"/>
      <c r="AD8" s="1"/>
    </row>
    <row r="9">
      <c r="A9" s="1"/>
      <c r="B9" s="98" t="s">
        <v>49</v>
      </c>
      <c r="C9" s="73"/>
      <c r="D9" s="99"/>
      <c r="E9" s="26"/>
      <c r="F9" s="26"/>
      <c r="G9" s="100"/>
      <c r="H9" s="100"/>
      <c r="I9" s="101"/>
      <c r="J9" s="13"/>
      <c r="K9" s="1"/>
      <c r="L9" s="97"/>
      <c r="M9" s="12"/>
      <c r="N9" s="13"/>
      <c r="O9" s="102" t="s">
        <v>49</v>
      </c>
      <c r="Q9" s="13"/>
      <c r="R9" s="13"/>
      <c r="S9" s="13"/>
      <c r="T9" s="13"/>
      <c r="U9" s="13"/>
      <c r="V9" s="79"/>
      <c r="W9" s="1"/>
      <c r="X9" s="1"/>
      <c r="Y9" s="1"/>
      <c r="Z9" s="1"/>
      <c r="AA9" s="1"/>
      <c r="AB9" s="1"/>
      <c r="AC9" s="1"/>
      <c r="AD9" s="1"/>
    </row>
    <row r="10">
      <c r="A10" s="1"/>
      <c r="B10" s="80"/>
      <c r="C10" s="81" t="s">
        <v>50</v>
      </c>
      <c r="D10" s="82">
        <v>319.0</v>
      </c>
      <c r="E10" s="83">
        <f t="shared" ref="E10:I10" si="7">D10*(1+$L10)</f>
        <v>363.66</v>
      </c>
      <c r="F10" s="83">
        <f t="shared" si="7"/>
        <v>414.5724</v>
      </c>
      <c r="G10" s="83">
        <f t="shared" si="7"/>
        <v>472.612536</v>
      </c>
      <c r="H10" s="83">
        <f t="shared" si="7"/>
        <v>538.778291</v>
      </c>
      <c r="I10" s="84">
        <f t="shared" si="7"/>
        <v>614.2072518</v>
      </c>
      <c r="J10" s="85">
        <f t="shared" ref="J10:J16" si="9">I10/$I$22</f>
        <v>0.09622243852</v>
      </c>
      <c r="K10" s="1"/>
      <c r="L10" s="86">
        <v>0.14</v>
      </c>
      <c r="M10" s="12"/>
      <c r="N10" s="13"/>
      <c r="O10" s="92"/>
      <c r="P10" s="93" t="s">
        <v>50</v>
      </c>
      <c r="Q10" s="85">
        <v>0.2</v>
      </c>
      <c r="R10" s="85">
        <v>0.15</v>
      </c>
      <c r="S10" s="85">
        <v>-0.05</v>
      </c>
      <c r="T10" s="85">
        <v>0.25</v>
      </c>
      <c r="U10" s="85">
        <v>0.17</v>
      </c>
      <c r="V10" s="89">
        <f t="shared" ref="V10:V16" si="10">((1+Q10)*(1+R10)*(1+S10)*(1+T10)*(1+U10))^(1/5)-1</f>
        <v>0.1390419348</v>
      </c>
      <c r="W10" s="1"/>
      <c r="X10" s="1"/>
      <c r="Y10" s="1"/>
      <c r="Z10" s="1"/>
      <c r="AA10" s="1"/>
      <c r="AB10" s="1"/>
      <c r="AC10" s="1"/>
      <c r="AD10" s="1"/>
    </row>
    <row r="11">
      <c r="A11" s="1"/>
      <c r="B11" s="80"/>
      <c r="C11" s="81" t="s">
        <v>51</v>
      </c>
      <c r="D11" s="82">
        <v>261.0</v>
      </c>
      <c r="E11" s="83">
        <f t="shared" ref="E11:I11" si="8">D11*(1+$L11)</f>
        <v>284.49</v>
      </c>
      <c r="F11" s="83">
        <f t="shared" si="8"/>
        <v>310.0941</v>
      </c>
      <c r="G11" s="83">
        <f t="shared" si="8"/>
        <v>338.002569</v>
      </c>
      <c r="H11" s="83">
        <f t="shared" si="8"/>
        <v>368.4228002</v>
      </c>
      <c r="I11" s="84">
        <f t="shared" si="8"/>
        <v>401.5808522</v>
      </c>
      <c r="J11" s="85">
        <f t="shared" si="9"/>
        <v>0.0629121339</v>
      </c>
      <c r="K11" s="1"/>
      <c r="L11" s="86">
        <v>0.09</v>
      </c>
      <c r="M11" s="12"/>
      <c r="N11" s="13"/>
      <c r="O11" s="92"/>
      <c r="P11" s="93" t="s">
        <v>51</v>
      </c>
      <c r="Q11" s="85">
        <v>0.15</v>
      </c>
      <c r="R11" s="85">
        <v>0.1</v>
      </c>
      <c r="S11" s="85">
        <v>-0.05</v>
      </c>
      <c r="T11" s="85">
        <v>0.15</v>
      </c>
      <c r="U11" s="85">
        <v>0.13</v>
      </c>
      <c r="V11" s="89">
        <f t="shared" si="10"/>
        <v>0.09324646801</v>
      </c>
      <c r="W11" s="1"/>
      <c r="X11" s="1"/>
      <c r="Y11" s="1"/>
      <c r="Z11" s="1"/>
      <c r="AA11" s="1"/>
      <c r="AB11" s="1"/>
      <c r="AC11" s="1"/>
      <c r="AD11" s="1"/>
    </row>
    <row r="12">
      <c r="A12" s="1"/>
      <c r="B12" s="80"/>
      <c r="C12" s="81" t="s">
        <v>52</v>
      </c>
      <c r="D12" s="82">
        <v>256.0</v>
      </c>
      <c r="E12" s="83">
        <f t="shared" ref="E12:I12" si="11">D12*(1+$L12)</f>
        <v>268.8</v>
      </c>
      <c r="F12" s="83">
        <f t="shared" si="11"/>
        <v>282.24</v>
      </c>
      <c r="G12" s="83">
        <f t="shared" si="11"/>
        <v>296.352</v>
      </c>
      <c r="H12" s="83">
        <f t="shared" si="11"/>
        <v>311.1696</v>
      </c>
      <c r="I12" s="84">
        <f t="shared" si="11"/>
        <v>326.72808</v>
      </c>
      <c r="J12" s="85">
        <f t="shared" si="9"/>
        <v>0.05118560958</v>
      </c>
      <c r="K12" s="1"/>
      <c r="L12" s="86">
        <v>0.05</v>
      </c>
      <c r="M12" s="12"/>
      <c r="N12" s="13"/>
      <c r="O12" s="92"/>
      <c r="P12" s="93" t="s">
        <v>52</v>
      </c>
      <c r="Q12" s="85">
        <v>0.1</v>
      </c>
      <c r="R12" s="85">
        <v>0.15</v>
      </c>
      <c r="S12" s="85">
        <v>-0.2</v>
      </c>
      <c r="T12" s="85">
        <v>0.15</v>
      </c>
      <c r="U12" s="85">
        <v>0.1</v>
      </c>
      <c r="V12" s="89">
        <f t="shared" si="10"/>
        <v>0.05064066854</v>
      </c>
      <c r="W12" s="1"/>
      <c r="X12" s="1"/>
      <c r="Y12" s="1"/>
      <c r="Z12" s="1"/>
      <c r="AA12" s="1"/>
      <c r="AB12" s="1"/>
      <c r="AC12" s="1"/>
      <c r="AD12" s="1"/>
    </row>
    <row r="13">
      <c r="A13" s="1"/>
      <c r="B13" s="80"/>
      <c r="C13" s="91" t="s">
        <v>53</v>
      </c>
      <c r="D13" s="82">
        <v>179.0</v>
      </c>
      <c r="E13" s="83">
        <f t="shared" ref="E13:I13" si="12">D13*(1+$L13)</f>
        <v>209.43</v>
      </c>
      <c r="F13" s="83">
        <f t="shared" si="12"/>
        <v>245.0331</v>
      </c>
      <c r="G13" s="83">
        <f t="shared" si="12"/>
        <v>286.688727</v>
      </c>
      <c r="H13" s="83">
        <f t="shared" si="12"/>
        <v>335.4258106</v>
      </c>
      <c r="I13" s="84">
        <f t="shared" si="12"/>
        <v>392.4481984</v>
      </c>
      <c r="J13" s="85">
        <f t="shared" si="9"/>
        <v>0.06148140149</v>
      </c>
      <c r="K13" s="1"/>
      <c r="L13" s="86">
        <v>0.17</v>
      </c>
      <c r="M13" s="12"/>
      <c r="N13" s="13"/>
      <c r="O13" s="92"/>
      <c r="P13" s="93" t="s">
        <v>53</v>
      </c>
      <c r="Q13" s="85">
        <v>0.3</v>
      </c>
      <c r="R13" s="85">
        <v>0.2</v>
      </c>
      <c r="S13" s="85">
        <v>-0.3</v>
      </c>
      <c r="T13" s="85">
        <v>0.7</v>
      </c>
      <c r="U13" s="85">
        <v>0.2</v>
      </c>
      <c r="V13" s="89">
        <f t="shared" si="10"/>
        <v>0.1737363676</v>
      </c>
      <c r="W13" s="1"/>
      <c r="X13" s="1"/>
      <c r="Y13" s="1"/>
      <c r="Z13" s="1"/>
      <c r="AA13" s="1"/>
      <c r="AB13" s="1"/>
      <c r="AC13" s="1"/>
      <c r="AD13" s="1"/>
    </row>
    <row r="14">
      <c r="A14" s="1"/>
      <c r="B14" s="80"/>
      <c r="C14" s="103" t="s">
        <v>54</v>
      </c>
      <c r="D14" s="82">
        <v>94.0</v>
      </c>
      <c r="E14" s="83">
        <f t="shared" ref="E14:I14" si="13">D14*(1+$L14)</f>
        <v>99.64</v>
      </c>
      <c r="F14" s="83">
        <f t="shared" si="13"/>
        <v>105.6184</v>
      </c>
      <c r="G14" s="83">
        <f t="shared" si="13"/>
        <v>111.955504</v>
      </c>
      <c r="H14" s="83">
        <f t="shared" si="13"/>
        <v>118.6728342</v>
      </c>
      <c r="I14" s="84">
        <f t="shared" si="13"/>
        <v>125.7932043</v>
      </c>
      <c r="J14" s="85">
        <f t="shared" si="9"/>
        <v>0.01970691299</v>
      </c>
      <c r="K14" s="1"/>
      <c r="L14" s="86">
        <v>0.06</v>
      </c>
      <c r="M14" s="12"/>
      <c r="N14" s="13"/>
      <c r="O14" s="92"/>
      <c r="P14" s="93" t="s">
        <v>54</v>
      </c>
      <c r="Q14" s="85">
        <v>0.15</v>
      </c>
      <c r="R14" s="85">
        <v>0.07</v>
      </c>
      <c r="S14" s="85">
        <v>-0.15</v>
      </c>
      <c r="T14" s="85">
        <v>0.2</v>
      </c>
      <c r="U14" s="85">
        <v>0.1</v>
      </c>
      <c r="V14" s="89">
        <f t="shared" si="10"/>
        <v>0.06663270289</v>
      </c>
      <c r="W14" s="1"/>
      <c r="X14" s="1"/>
      <c r="Y14" s="1"/>
      <c r="Z14" s="1"/>
      <c r="AA14" s="1"/>
      <c r="AB14" s="1"/>
      <c r="AC14" s="1"/>
      <c r="AD14" s="1"/>
    </row>
    <row r="15">
      <c r="A15" s="1"/>
      <c r="B15" s="90"/>
      <c r="C15" s="91" t="s">
        <v>55</v>
      </c>
      <c r="D15" s="82">
        <v>24.0</v>
      </c>
      <c r="E15" s="83">
        <f t="shared" ref="E15:I15" si="14">D15*(1+$L15)</f>
        <v>32.64</v>
      </c>
      <c r="F15" s="83">
        <f t="shared" si="14"/>
        <v>44.3904</v>
      </c>
      <c r="G15" s="83">
        <f t="shared" si="14"/>
        <v>60.370944</v>
      </c>
      <c r="H15" s="83">
        <f t="shared" si="14"/>
        <v>82.10448384</v>
      </c>
      <c r="I15" s="84">
        <f t="shared" si="14"/>
        <v>111.662098</v>
      </c>
      <c r="J15" s="85">
        <f t="shared" si="9"/>
        <v>0.01749311707</v>
      </c>
      <c r="K15" s="1"/>
      <c r="L15" s="86">
        <v>0.36</v>
      </c>
      <c r="M15" s="12"/>
      <c r="N15" s="13"/>
      <c r="O15" s="92"/>
      <c r="P15" s="93" t="s">
        <v>55</v>
      </c>
      <c r="Q15" s="85">
        <v>0.9</v>
      </c>
      <c r="R15" s="85">
        <v>0.5</v>
      </c>
      <c r="S15" s="85">
        <v>-0.1</v>
      </c>
      <c r="T15" s="85">
        <v>0.4</v>
      </c>
      <c r="U15" s="85">
        <v>0.3</v>
      </c>
      <c r="V15" s="89">
        <f t="shared" si="10"/>
        <v>0.3609173521</v>
      </c>
      <c r="W15" s="1"/>
      <c r="X15" s="1"/>
      <c r="Y15" s="1"/>
      <c r="Z15" s="1"/>
      <c r="AA15" s="1"/>
      <c r="AB15" s="1"/>
      <c r="AC15" s="1"/>
      <c r="AD15" s="1"/>
    </row>
    <row r="16">
      <c r="A16" s="1"/>
      <c r="B16" s="80"/>
      <c r="C16" s="103" t="s">
        <v>56</v>
      </c>
      <c r="D16" s="82">
        <v>-24.0</v>
      </c>
      <c r="E16" s="83">
        <f t="shared" ref="E16:I16" si="15">D16*(1+$L16)</f>
        <v>-25.2</v>
      </c>
      <c r="F16" s="83">
        <f t="shared" si="15"/>
        <v>-26.46</v>
      </c>
      <c r="G16" s="83">
        <f t="shared" si="15"/>
        <v>-27.783</v>
      </c>
      <c r="H16" s="83">
        <f t="shared" si="15"/>
        <v>-29.17215</v>
      </c>
      <c r="I16" s="84">
        <f t="shared" si="15"/>
        <v>-30.6307575</v>
      </c>
      <c r="J16" s="85">
        <f t="shared" si="9"/>
        <v>-0.004798650898</v>
      </c>
      <c r="K16" s="1"/>
      <c r="L16" s="86">
        <v>0.05</v>
      </c>
      <c r="M16" s="12"/>
      <c r="N16" s="13"/>
      <c r="O16" s="92"/>
      <c r="P16" s="93" t="s">
        <v>56</v>
      </c>
      <c r="Q16" s="85">
        <v>0.05</v>
      </c>
      <c r="R16" s="85">
        <v>0.07</v>
      </c>
      <c r="S16" s="85">
        <v>-0.05</v>
      </c>
      <c r="T16" s="85">
        <v>0.15</v>
      </c>
      <c r="U16" s="85">
        <v>0.05</v>
      </c>
      <c r="V16" s="89">
        <f t="shared" si="10"/>
        <v>0.05205092923</v>
      </c>
      <c r="W16" s="1"/>
      <c r="X16" s="1"/>
      <c r="Y16" s="1"/>
      <c r="Z16" s="1"/>
      <c r="AA16" s="1"/>
      <c r="AB16" s="1"/>
      <c r="AC16" s="1"/>
      <c r="AD16" s="1"/>
    </row>
    <row r="17">
      <c r="A17" s="1"/>
      <c r="B17" s="90"/>
      <c r="C17" s="31"/>
      <c r="D17" s="104"/>
      <c r="E17" s="30"/>
      <c r="F17" s="30"/>
      <c r="G17" s="30"/>
      <c r="H17" s="30"/>
      <c r="I17" s="101"/>
      <c r="J17" s="13"/>
      <c r="K17" s="1"/>
      <c r="L17" s="97"/>
      <c r="M17" s="12"/>
      <c r="N17" s="13"/>
      <c r="O17" s="92"/>
      <c r="P17" s="26"/>
      <c r="Q17" s="13"/>
      <c r="R17" s="13"/>
      <c r="S17" s="13"/>
      <c r="T17" s="13"/>
      <c r="U17" s="13"/>
      <c r="V17" s="79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72" t="s">
        <v>57</v>
      </c>
      <c r="C18" s="73"/>
      <c r="D18" s="82">
        <v>109.0</v>
      </c>
      <c r="E18" s="83">
        <f t="shared" ref="E18:I18" si="16">D18*(1+$L18)</f>
        <v>134.07</v>
      </c>
      <c r="F18" s="83">
        <f t="shared" si="16"/>
        <v>164.9061</v>
      </c>
      <c r="G18" s="83">
        <f t="shared" si="16"/>
        <v>202.834503</v>
      </c>
      <c r="H18" s="83">
        <f t="shared" si="16"/>
        <v>249.4864387</v>
      </c>
      <c r="I18" s="84">
        <f t="shared" si="16"/>
        <v>306.8683196</v>
      </c>
      <c r="J18" s="85">
        <f>I18/$I$22</f>
        <v>0.0480743559</v>
      </c>
      <c r="K18" s="1"/>
      <c r="L18" s="86">
        <v>0.23</v>
      </c>
      <c r="M18" s="12"/>
      <c r="N18" s="13"/>
      <c r="O18" s="102" t="s">
        <v>57</v>
      </c>
      <c r="Q18" s="85">
        <v>0.35</v>
      </c>
      <c r="R18" s="85">
        <v>0.25</v>
      </c>
      <c r="S18" s="85">
        <v>0.0</v>
      </c>
      <c r="T18" s="85">
        <v>0.35</v>
      </c>
      <c r="U18" s="85">
        <v>0.25</v>
      </c>
      <c r="V18" s="89">
        <f>((1+Q18)*(1+R18)*(1+S18)*(1+T18)*(1+U18))^(1/5)-1</f>
        <v>0.2328138721</v>
      </c>
      <c r="W18" s="1"/>
      <c r="X18" s="1"/>
      <c r="Y18" s="1"/>
      <c r="Z18" s="1"/>
      <c r="AA18" s="1"/>
      <c r="AB18" s="1"/>
      <c r="AC18" s="1"/>
      <c r="AD18" s="1"/>
    </row>
    <row r="19">
      <c r="A19" s="1"/>
      <c r="B19" s="90"/>
      <c r="C19" s="31"/>
      <c r="D19" s="94"/>
      <c r="E19" s="95"/>
      <c r="F19" s="95"/>
      <c r="G19" s="95"/>
      <c r="H19" s="95"/>
      <c r="I19" s="96"/>
      <c r="J19" s="13"/>
      <c r="K19" s="1"/>
      <c r="L19" s="97"/>
      <c r="M19" s="12"/>
      <c r="N19" s="13"/>
      <c r="O19" s="92"/>
      <c r="P19" s="26"/>
      <c r="Q19" s="13"/>
      <c r="R19" s="13"/>
      <c r="S19" s="13"/>
      <c r="T19" s="13"/>
      <c r="U19" s="13"/>
      <c r="V19" s="79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72" t="s">
        <v>58</v>
      </c>
      <c r="C20" s="73"/>
      <c r="D20" s="82">
        <v>86.0</v>
      </c>
      <c r="E20" s="83">
        <f t="shared" ref="E20:I20" si="17">D20*(1+$L20)</f>
        <v>93.74</v>
      </c>
      <c r="F20" s="83">
        <f t="shared" si="17"/>
        <v>102.1766</v>
      </c>
      <c r="G20" s="83">
        <f t="shared" si="17"/>
        <v>111.372494</v>
      </c>
      <c r="H20" s="83">
        <f t="shared" si="17"/>
        <v>121.3960185</v>
      </c>
      <c r="I20" s="84">
        <f t="shared" si="17"/>
        <v>132.3216601</v>
      </c>
      <c r="J20" s="85">
        <f>I20/$I$22</f>
        <v>0.02072966864</v>
      </c>
      <c r="K20" s="1"/>
      <c r="L20" s="86">
        <v>0.09</v>
      </c>
      <c r="M20" s="12"/>
      <c r="N20" s="13"/>
      <c r="O20" s="105" t="s">
        <v>58</v>
      </c>
      <c r="P20" s="106"/>
      <c r="Q20" s="107">
        <v>0.1</v>
      </c>
      <c r="R20" s="107">
        <v>0.15</v>
      </c>
      <c r="S20" s="107">
        <v>0.05</v>
      </c>
      <c r="T20" s="107">
        <v>0.1</v>
      </c>
      <c r="U20" s="107">
        <v>0.05</v>
      </c>
      <c r="V20" s="108">
        <f>((1+Q20)*(1+R20)*(1+S20)*(1+T20)*(1+U20))^(1/5)-1</f>
        <v>0.08936235109</v>
      </c>
      <c r="W20" s="1"/>
      <c r="X20" s="1"/>
      <c r="Y20" s="1"/>
      <c r="Z20" s="1"/>
      <c r="AA20" s="1"/>
      <c r="AB20" s="1"/>
      <c r="AC20" s="1"/>
      <c r="AD20" s="1"/>
    </row>
    <row r="21">
      <c r="A21" s="1"/>
      <c r="B21" s="90"/>
      <c r="C21" s="109"/>
      <c r="D21" s="110"/>
      <c r="E21" s="111"/>
      <c r="F21" s="111"/>
      <c r="G21" s="111"/>
      <c r="H21" s="111"/>
      <c r="I21" s="101"/>
      <c r="J21" s="1"/>
      <c r="K21" s="1"/>
      <c r="L21" s="25"/>
      <c r="M21" s="1"/>
      <c r="N21" s="1"/>
      <c r="O21" s="1"/>
      <c r="P21" s="1"/>
      <c r="Q21" s="13"/>
      <c r="R21" s="13"/>
      <c r="S21" s="13"/>
      <c r="T21" s="13"/>
      <c r="U21" s="13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12" t="s">
        <v>59</v>
      </c>
      <c r="C22" s="113"/>
      <c r="D22" s="114">
        <f t="shared" ref="D22:I22" si="18">SUM(D4:D20)</f>
        <v>2951</v>
      </c>
      <c r="E22" s="115">
        <f t="shared" si="18"/>
        <v>3422.07</v>
      </c>
      <c r="F22" s="115">
        <f t="shared" si="18"/>
        <v>3980.6409</v>
      </c>
      <c r="G22" s="115">
        <f t="shared" si="18"/>
        <v>4644.780123</v>
      </c>
      <c r="H22" s="115">
        <f t="shared" si="18"/>
        <v>5436.596085</v>
      </c>
      <c r="I22" s="116">
        <f t="shared" si="18"/>
        <v>6383.201893</v>
      </c>
      <c r="J22" s="1"/>
      <c r="K22" s="1"/>
      <c r="L22" s="2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17" t="s">
        <v>60</v>
      </c>
      <c r="C23" s="118"/>
      <c r="D23" s="119">
        <f>(I22/D22)^(1/5)-1</f>
        <v>0.1668468934</v>
      </c>
      <c r="E23" s="120"/>
      <c r="F23" s="120"/>
      <c r="G23" s="120"/>
      <c r="H23" s="120"/>
      <c r="I23" s="121"/>
      <c r="J23" s="1"/>
      <c r="K23" s="1"/>
      <c r="L23" s="12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1"/>
      <c r="C24" s="13"/>
      <c r="D24" s="123"/>
      <c r="E24" s="123"/>
      <c r="F24" s="123"/>
      <c r="G24" s="123"/>
      <c r="H24" s="1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1"/>
      <c r="C26" s="12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1"/>
      <c r="C27" s="12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"/>
      <c r="C28" s="12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"/>
      <c r="C29" s="12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"/>
      <c r="C30" s="12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2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2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2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2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2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24"/>
      <c r="D36" s="1"/>
      <c r="E36" s="1"/>
      <c r="F36" s="11"/>
      <c r="G36" s="1"/>
      <c r="H36" s="11"/>
      <c r="I36" s="13"/>
      <c r="J36" s="1"/>
      <c r="K36" s="1"/>
      <c r="L36" s="11"/>
      <c r="M36" s="1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3"/>
      <c r="C37" s="124"/>
      <c r="D37" s="13"/>
      <c r="E37" s="1"/>
      <c r="F37" s="1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3"/>
      <c r="C38" s="124"/>
      <c r="D38" s="1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3"/>
      <c r="C39" s="124"/>
      <c r="D39" s="13"/>
      <c r="E39" s="1"/>
      <c r="F39" s="11"/>
      <c r="G39" s="1"/>
      <c r="H39" s="11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3"/>
      <c r="C40" s="124"/>
      <c r="D40" s="13"/>
      <c r="E40" s="1"/>
      <c r="F40" s="11"/>
      <c r="G40" s="1"/>
      <c r="H40" s="11"/>
      <c r="I40" s="6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3"/>
      <c r="C41" s="124"/>
      <c r="D41" s="1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3"/>
      <c r="C42" s="124"/>
      <c r="D42" s="1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3"/>
      <c r="C43" s="124"/>
      <c r="D43" s="1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3"/>
      <c r="C44" s="12"/>
      <c r="D44" s="1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3"/>
      <c r="C45" s="12"/>
      <c r="D45" s="13"/>
      <c r="E45" s="1"/>
      <c r="F45" s="1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3"/>
      <c r="C46" s="12"/>
      <c r="D46" s="13"/>
      <c r="E46" s="1"/>
      <c r="F46" s="1"/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3"/>
      <c r="C47" s="12"/>
      <c r="D47" s="1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</sheetData>
  <mergeCells count="14">
    <mergeCell ref="B9:C9"/>
    <mergeCell ref="B18:C18"/>
    <mergeCell ref="O18:P18"/>
    <mergeCell ref="B20:C20"/>
    <mergeCell ref="O20:P20"/>
    <mergeCell ref="B22:C22"/>
    <mergeCell ref="B23:C23"/>
    <mergeCell ref="B2:C2"/>
    <mergeCell ref="O2:P2"/>
    <mergeCell ref="B3:C3"/>
    <mergeCell ref="O3:P3"/>
    <mergeCell ref="B8:C8"/>
    <mergeCell ref="O8:P8"/>
    <mergeCell ref="O9:P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5" t="s">
        <v>61</v>
      </c>
    </row>
    <row r="3">
      <c r="B3" s="126" t="s">
        <v>62</v>
      </c>
      <c r="C3" s="126">
        <v>5606.0</v>
      </c>
      <c r="D3" s="126" t="s">
        <v>63</v>
      </c>
    </row>
    <row r="4">
      <c r="B4" s="126" t="s">
        <v>64</v>
      </c>
      <c r="C4" s="127">
        <v>17575.0</v>
      </c>
    </row>
    <row r="5">
      <c r="B5" s="126" t="s">
        <v>65</v>
      </c>
      <c r="C5" s="128">
        <f>C4+C3</f>
        <v>23181</v>
      </c>
    </row>
    <row r="8">
      <c r="B8" s="125" t="s">
        <v>66</v>
      </c>
    </row>
    <row r="9">
      <c r="B9" s="126" t="s">
        <v>67</v>
      </c>
      <c r="C9" s="127">
        <f>2358-1742</f>
        <v>616</v>
      </c>
    </row>
    <row r="10">
      <c r="B10" s="126" t="s">
        <v>64</v>
      </c>
      <c r="C10" s="127">
        <v>1902.0</v>
      </c>
    </row>
    <row r="11">
      <c r="B11" s="126" t="s">
        <v>65</v>
      </c>
      <c r="C11" s="128">
        <f>SUM(C9:C10)</f>
        <v>2518</v>
      </c>
    </row>
    <row r="13">
      <c r="B13" s="125" t="s">
        <v>68</v>
      </c>
    </row>
    <row r="14">
      <c r="B14" s="126" t="s">
        <v>67</v>
      </c>
      <c r="C14" s="127">
        <f>12406-9373</f>
        <v>3033</v>
      </c>
    </row>
    <row r="15">
      <c r="B15" s="126" t="s">
        <v>64</v>
      </c>
      <c r="C15" s="127">
        <v>9228.0</v>
      </c>
    </row>
    <row r="16">
      <c r="B16" s="126" t="s">
        <v>65</v>
      </c>
      <c r="C16" s="128">
        <f>SUM(C14:C15)</f>
        <v>12261</v>
      </c>
    </row>
    <row r="19">
      <c r="B19" s="125" t="s">
        <v>18</v>
      </c>
    </row>
    <row r="20">
      <c r="B20" s="126" t="s">
        <v>67</v>
      </c>
      <c r="C20" s="129">
        <f>190-156</f>
        <v>34</v>
      </c>
    </row>
    <row r="21">
      <c r="B21" s="126" t="s">
        <v>64</v>
      </c>
      <c r="C21" s="126">
        <v>25.0</v>
      </c>
    </row>
    <row r="22">
      <c r="B22" s="126" t="s">
        <v>65</v>
      </c>
      <c r="C22" s="129">
        <f>SUM(C20:C21)</f>
        <v>59</v>
      </c>
    </row>
    <row r="24">
      <c r="B24" s="130" t="s">
        <v>19</v>
      </c>
    </row>
    <row r="25">
      <c r="B25" s="126" t="s">
        <v>67</v>
      </c>
      <c r="C25" s="127">
        <f>1371-1063 </f>
        <v>308</v>
      </c>
    </row>
    <row r="26">
      <c r="B26" s="126" t="s">
        <v>64</v>
      </c>
      <c r="C26" s="127">
        <v>1196.0</v>
      </c>
    </row>
    <row r="27">
      <c r="B27" s="126" t="s">
        <v>65</v>
      </c>
      <c r="C27" s="128">
        <f>C26+C25</f>
        <v>1504</v>
      </c>
    </row>
    <row r="30">
      <c r="B30" s="1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13"/>
    <col customWidth="1" min="2" max="2" width="8.88"/>
    <col customWidth="1" min="3" max="3" width="47.0"/>
    <col customWidth="1" min="4" max="4" width="24.0"/>
    <col customWidth="1" min="5" max="6" width="25.25"/>
    <col customWidth="1" min="7" max="7" width="22.5"/>
    <col customWidth="1" min="8" max="8" width="23.0"/>
    <col customWidth="1" min="10" max="10" width="25.25"/>
    <col customWidth="1" min="12" max="12" width="22.88"/>
    <col customWidth="1" min="13" max="13" width="20.0"/>
    <col customWidth="1" min="14" max="14" width="24.0"/>
    <col customWidth="1" min="15" max="15" width="16.13"/>
    <col customWidth="1" min="16" max="16" width="43.63"/>
    <col customWidth="1" min="17" max="17" width="13.0"/>
    <col customWidth="1" min="20" max="21" width="13.0"/>
    <col customWidth="1" min="22" max="22" width="2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31" t="s">
        <v>69</v>
      </c>
      <c r="C2" s="68"/>
      <c r="D2" s="69">
        <v>2025.0</v>
      </c>
      <c r="E2" s="69">
        <v>2026.0</v>
      </c>
      <c r="F2" s="69">
        <v>2027.0</v>
      </c>
      <c r="G2" s="69">
        <v>2028.0</v>
      </c>
      <c r="H2" s="69">
        <v>2029.0</v>
      </c>
      <c r="I2" s="70">
        <v>2030.0</v>
      </c>
      <c r="J2" s="70" t="s">
        <v>37</v>
      </c>
      <c r="K2" s="1"/>
      <c r="L2" s="70" t="s">
        <v>38</v>
      </c>
      <c r="M2" s="1"/>
      <c r="N2" s="1"/>
      <c r="O2" s="50" t="s">
        <v>36</v>
      </c>
      <c r="P2" s="71"/>
      <c r="Q2" s="69" t="s">
        <v>39</v>
      </c>
      <c r="R2" s="69" t="s">
        <v>40</v>
      </c>
      <c r="S2" s="69" t="s">
        <v>41</v>
      </c>
      <c r="T2" s="69" t="s">
        <v>42</v>
      </c>
      <c r="U2" s="69" t="s">
        <v>43</v>
      </c>
      <c r="V2" s="70" t="s">
        <v>38</v>
      </c>
      <c r="W2" s="1"/>
      <c r="X2" s="1"/>
      <c r="Y2" s="1"/>
      <c r="Z2" s="1"/>
      <c r="AA2" s="1"/>
      <c r="AB2" s="1"/>
      <c r="AC2" s="1"/>
      <c r="AD2" s="1"/>
    </row>
    <row r="3">
      <c r="A3" s="1"/>
      <c r="B3" s="132" t="s">
        <v>70</v>
      </c>
      <c r="C3" s="73"/>
      <c r="D3" s="74"/>
      <c r="E3" s="75"/>
      <c r="F3" s="75"/>
      <c r="G3" s="75"/>
      <c r="H3" s="75"/>
      <c r="I3" s="76"/>
      <c r="J3" s="1"/>
      <c r="K3" s="1"/>
      <c r="L3" s="77"/>
      <c r="M3" s="1"/>
      <c r="N3" s="1"/>
      <c r="O3" s="78" t="s">
        <v>44</v>
      </c>
      <c r="Q3" s="1"/>
      <c r="R3" s="1"/>
      <c r="S3" s="1"/>
      <c r="T3" s="1"/>
      <c r="U3" s="1"/>
      <c r="V3" s="79"/>
      <c r="W3" s="1"/>
      <c r="X3" s="1"/>
      <c r="Y3" s="1"/>
      <c r="Z3" s="1"/>
      <c r="AA3" s="1"/>
      <c r="AB3" s="1"/>
      <c r="AC3" s="1"/>
      <c r="AD3" s="1"/>
    </row>
    <row r="4">
      <c r="A4" s="1"/>
      <c r="B4" s="132" t="s">
        <v>71</v>
      </c>
      <c r="C4" s="73"/>
      <c r="D4" s="82">
        <v>760.0</v>
      </c>
      <c r="E4" s="83">
        <f t="shared" ref="E4:I4" si="1">D4*(1+$L4)</f>
        <v>881.6</v>
      </c>
      <c r="F4" s="83">
        <f t="shared" si="1"/>
        <v>1022.656</v>
      </c>
      <c r="G4" s="83">
        <f t="shared" si="1"/>
        <v>1186.28096</v>
      </c>
      <c r="H4" s="83">
        <f t="shared" si="1"/>
        <v>1376.085914</v>
      </c>
      <c r="I4" s="84">
        <f t="shared" si="1"/>
        <v>1596.25966</v>
      </c>
      <c r="J4" s="85">
        <f t="shared" ref="J4:J6" si="3">I4/$I$8</f>
        <v>0.4148867852</v>
      </c>
      <c r="K4" s="1"/>
      <c r="L4" s="86">
        <v>0.16</v>
      </c>
      <c r="M4" s="1"/>
      <c r="N4" s="1"/>
      <c r="O4" s="87"/>
      <c r="P4" s="88" t="s">
        <v>45</v>
      </c>
      <c r="Q4" s="85">
        <v>0.35</v>
      </c>
      <c r="R4" s="85">
        <v>0.2</v>
      </c>
      <c r="S4" s="85">
        <v>-0.05</v>
      </c>
      <c r="T4" s="85">
        <v>0.2</v>
      </c>
      <c r="U4" s="85">
        <v>0.15</v>
      </c>
      <c r="V4" s="89">
        <f t="shared" ref="V4:V6" si="4">((1+Q4)*(1+R4)*(1+S4)*(1+T4)*(1+U4))^(1/5)-1</f>
        <v>0.1625818572</v>
      </c>
      <c r="W4" s="1"/>
      <c r="X4" s="1"/>
      <c r="Y4" s="1"/>
      <c r="Z4" s="1"/>
      <c r="AA4" s="1"/>
      <c r="AB4" s="1"/>
      <c r="AC4" s="1"/>
      <c r="AD4" s="1"/>
    </row>
    <row r="5">
      <c r="A5" s="1"/>
      <c r="B5" s="132" t="s">
        <v>72</v>
      </c>
      <c r="C5" s="73"/>
      <c r="D5" s="82">
        <v>626.0</v>
      </c>
      <c r="E5" s="83">
        <f t="shared" ref="E5:I5" si="2">D5*(1+$L5)</f>
        <v>782.5</v>
      </c>
      <c r="F5" s="83">
        <f t="shared" si="2"/>
        <v>978.125</v>
      </c>
      <c r="G5" s="83">
        <f t="shared" si="2"/>
        <v>1222.65625</v>
      </c>
      <c r="H5" s="83">
        <f t="shared" si="2"/>
        <v>1528.320313</v>
      </c>
      <c r="I5" s="84">
        <f t="shared" si="2"/>
        <v>1910.400391</v>
      </c>
      <c r="J5" s="85">
        <f t="shared" si="3"/>
        <v>0.4965356805</v>
      </c>
      <c r="K5" s="11"/>
      <c r="L5" s="86">
        <v>0.25</v>
      </c>
      <c r="M5" s="12"/>
      <c r="N5" s="13"/>
      <c r="O5" s="92"/>
      <c r="P5" s="93" t="s">
        <v>46</v>
      </c>
      <c r="Q5" s="85">
        <v>0.6</v>
      </c>
      <c r="R5" s="85">
        <v>0.3</v>
      </c>
      <c r="S5" s="85">
        <v>-0.45</v>
      </c>
      <c r="T5" s="85">
        <v>0.8</v>
      </c>
      <c r="U5" s="85">
        <v>0.5</v>
      </c>
      <c r="V5" s="89">
        <f t="shared" si="4"/>
        <v>0.2530198693</v>
      </c>
      <c r="W5" s="1"/>
      <c r="X5" s="1"/>
      <c r="Y5" s="1"/>
      <c r="Z5" s="1"/>
      <c r="AA5" s="1"/>
      <c r="AB5" s="1"/>
      <c r="AC5" s="1"/>
      <c r="AD5" s="1"/>
    </row>
    <row r="6">
      <c r="A6" s="1"/>
      <c r="B6" s="132" t="s">
        <v>73</v>
      </c>
      <c r="C6" s="73"/>
      <c r="D6" s="82">
        <v>177.0</v>
      </c>
      <c r="E6" s="83">
        <f t="shared" ref="E6:I6" si="5">D6*(1+$L6)</f>
        <v>201.78</v>
      </c>
      <c r="F6" s="83">
        <f t="shared" si="5"/>
        <v>230.0292</v>
      </c>
      <c r="G6" s="83">
        <f t="shared" si="5"/>
        <v>262.233288</v>
      </c>
      <c r="H6" s="83">
        <f t="shared" si="5"/>
        <v>298.9459483</v>
      </c>
      <c r="I6" s="84">
        <f t="shared" si="5"/>
        <v>340.7983811</v>
      </c>
      <c r="J6" s="85">
        <f t="shared" si="3"/>
        <v>0.08857753427</v>
      </c>
      <c r="K6" s="11"/>
      <c r="L6" s="86">
        <v>0.14</v>
      </c>
      <c r="M6" s="12"/>
      <c r="N6" s="13"/>
      <c r="O6" s="92"/>
      <c r="P6" s="93" t="s">
        <v>47</v>
      </c>
      <c r="Q6" s="85">
        <v>0.3</v>
      </c>
      <c r="R6" s="85">
        <v>0.1</v>
      </c>
      <c r="S6" s="85">
        <v>-0.2</v>
      </c>
      <c r="T6" s="85">
        <v>0.4</v>
      </c>
      <c r="U6" s="85">
        <v>0.2</v>
      </c>
      <c r="V6" s="89">
        <f t="shared" si="4"/>
        <v>0.1395858846</v>
      </c>
      <c r="W6" s="1"/>
      <c r="X6" s="1"/>
      <c r="Y6" s="1"/>
      <c r="Z6" s="1"/>
      <c r="AA6" s="1"/>
      <c r="AB6" s="1"/>
      <c r="AC6" s="1"/>
      <c r="AD6" s="1"/>
    </row>
    <row r="7">
      <c r="A7" s="1"/>
      <c r="B7" s="90"/>
      <c r="C7" s="109"/>
      <c r="D7" s="110"/>
      <c r="E7" s="111"/>
      <c r="F7" s="111"/>
      <c r="G7" s="111"/>
      <c r="H7" s="111"/>
      <c r="I7" s="101"/>
      <c r="J7" s="1"/>
      <c r="K7" s="1"/>
      <c r="L7" s="25"/>
      <c r="M7" s="1"/>
      <c r="N7" s="1"/>
      <c r="O7" s="1"/>
      <c r="P7" s="1"/>
      <c r="Q7" s="13"/>
      <c r="R7" s="13"/>
      <c r="S7" s="13"/>
      <c r="T7" s="13"/>
      <c r="U7" s="13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33" t="s">
        <v>74</v>
      </c>
      <c r="C8" s="113"/>
      <c r="D8" s="114">
        <f t="shared" ref="D8:I8" si="6">SUM(D4:D6)</f>
        <v>1563</v>
      </c>
      <c r="E8" s="115">
        <f t="shared" si="6"/>
        <v>1865.88</v>
      </c>
      <c r="F8" s="115">
        <f t="shared" si="6"/>
        <v>2230.8102</v>
      </c>
      <c r="G8" s="115">
        <f t="shared" si="6"/>
        <v>2671.170498</v>
      </c>
      <c r="H8" s="115">
        <f t="shared" si="6"/>
        <v>3203.352174</v>
      </c>
      <c r="I8" s="116">
        <f t="shared" si="6"/>
        <v>3847.458431</v>
      </c>
      <c r="J8" s="1"/>
      <c r="K8" s="1"/>
      <c r="L8" s="2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17" t="s">
        <v>60</v>
      </c>
      <c r="C9" s="118"/>
      <c r="D9" s="119">
        <f>(I8/D8)^(1/5)-1</f>
        <v>0.1974103057</v>
      </c>
      <c r="E9" s="120"/>
      <c r="F9" s="120"/>
      <c r="G9" s="120"/>
      <c r="H9" s="120"/>
      <c r="I9" s="121"/>
      <c r="J9" s="1"/>
      <c r="K9" s="1"/>
      <c r="L9" s="12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1"/>
      <c r="C10" s="13"/>
      <c r="D10" s="123"/>
      <c r="E10" s="123"/>
      <c r="F10" s="123"/>
      <c r="G10" s="123"/>
      <c r="H10" s="1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1"/>
      <c r="C12" s="12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1"/>
      <c r="C13" s="12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"/>
      <c r="C14" s="12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"/>
      <c r="C15" s="12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"/>
      <c r="C16" s="12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1"/>
      <c r="C17" s="12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1"/>
      <c r="C18" s="12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1"/>
      <c r="C19" s="12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1"/>
      <c r="C20" s="1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1"/>
      <c r="C21" s="12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1"/>
      <c r="C22" s="124"/>
      <c r="D22" s="1"/>
      <c r="E22" s="1"/>
      <c r="F22" s="11"/>
      <c r="G22" s="1"/>
      <c r="H22" s="11"/>
      <c r="I22" s="13"/>
      <c r="J22" s="1"/>
      <c r="K22" s="1"/>
      <c r="L22" s="11"/>
      <c r="M22" s="1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13"/>
      <c r="C23" s="124"/>
      <c r="D23" s="13"/>
      <c r="E23" s="1"/>
      <c r="F23" s="1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13"/>
      <c r="C24" s="124"/>
      <c r="D24" s="1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13"/>
      <c r="C25" s="124"/>
      <c r="D25" s="13"/>
      <c r="E25" s="1"/>
      <c r="F25" s="11"/>
      <c r="G25" s="1"/>
      <c r="H25" s="11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13"/>
      <c r="C26" s="124"/>
      <c r="D26" s="13"/>
      <c r="E26" s="1"/>
      <c r="F26" s="11"/>
      <c r="G26" s="1"/>
      <c r="H26" s="11"/>
      <c r="I26" s="6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13"/>
      <c r="C27" s="124"/>
      <c r="D27" s="1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13"/>
      <c r="C28" s="124"/>
      <c r="D28" s="1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13"/>
      <c r="C29" s="124"/>
      <c r="D29" s="1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13"/>
      <c r="C30" s="12"/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3"/>
      <c r="C31" s="12"/>
      <c r="D31" s="13"/>
      <c r="E31" s="1"/>
      <c r="F31" s="1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3"/>
      <c r="C32" s="12"/>
      <c r="D32" s="13"/>
      <c r="E32" s="1"/>
      <c r="F32" s="1"/>
      <c r="G32" s="1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3"/>
      <c r="C33" s="12"/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</sheetData>
  <mergeCells count="9">
    <mergeCell ref="B8:C8"/>
    <mergeCell ref="B9:C9"/>
    <mergeCell ref="B2:C2"/>
    <mergeCell ref="O2:P2"/>
    <mergeCell ref="B3:C3"/>
    <mergeCell ref="O3:P3"/>
    <mergeCell ref="B4:C4"/>
    <mergeCell ref="B5:C5"/>
    <mergeCell ref="B6:C6"/>
  </mergeCells>
  <drawing r:id="rId1"/>
</worksheet>
</file>